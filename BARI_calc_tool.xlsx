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oogledrive\Lab\Project\tamaki_BARI\git\"/>
    </mc:Choice>
  </mc:AlternateContent>
  <xr:revisionPtr revIDLastSave="0" documentId="13_ncr:1_{8F3A7527-EDC0-422F-ABEA-D18A796ED591}" xr6:coauthVersionLast="47" xr6:coauthVersionMax="47" xr10:uidLastSave="{00000000-0000-0000-0000-000000000000}"/>
  <bookViews>
    <workbookView xWindow="-110" yWindow="490" windowWidth="38620" windowHeight="21220" xr2:uid="{7D1DE47E-1026-43EE-AC68-DB587249B440}"/>
  </bookViews>
  <sheets>
    <sheet name="Sheet1" sheetId="1" r:id="rId1"/>
  </sheets>
  <definedNames>
    <definedName name="_xlnm._FilterDatabase" localSheetId="0" hidden="1">Sheet1!$A$1:$O$1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" i="1" l="1"/>
  <c r="G19" i="1" s="1"/>
  <c r="E24" i="1"/>
  <c r="G24" i="1" s="1"/>
  <c r="E10" i="1"/>
  <c r="G10" i="1" s="1"/>
  <c r="D17" i="1"/>
  <c r="F17" i="1" s="1"/>
  <c r="E32" i="1"/>
  <c r="G32" i="1" s="1"/>
  <c r="E61" i="1"/>
  <c r="G61" i="1" s="1"/>
  <c r="D5" i="1"/>
  <c r="F5" i="1" s="1"/>
  <c r="E16" i="1"/>
  <c r="G16" i="1" s="1"/>
  <c r="E43" i="1"/>
  <c r="G43" i="1" s="1"/>
  <c r="E21" i="1"/>
  <c r="G21" i="1" s="1"/>
  <c r="D12" i="1"/>
  <c r="F12" i="1" s="1"/>
  <c r="E45" i="1"/>
  <c r="G45" i="1" s="1"/>
  <c r="E14" i="1"/>
  <c r="G14" i="1" s="1"/>
  <c r="E49" i="1"/>
  <c r="G49" i="1" s="1"/>
  <c r="E51" i="1"/>
  <c r="G51" i="1" s="1"/>
  <c r="E31" i="1"/>
  <c r="G31" i="1" s="1"/>
  <c r="E30" i="1" l="1"/>
  <c r="G30" i="1" s="1"/>
  <c r="E62" i="1"/>
  <c r="G62" i="1" s="1"/>
  <c r="E3" i="1"/>
  <c r="G3" i="1" s="1"/>
  <c r="E57" i="1"/>
  <c r="G57" i="1" s="1"/>
  <c r="E55" i="1"/>
  <c r="G55" i="1" s="1"/>
  <c r="D56" i="1"/>
  <c r="F56" i="1" s="1"/>
  <c r="E53" i="1"/>
  <c r="G53" i="1" s="1"/>
  <c r="E9" i="1"/>
  <c r="G9" i="1" s="1"/>
  <c r="E12" i="1"/>
  <c r="G12" i="1" s="1"/>
  <c r="E33" i="1"/>
  <c r="G33" i="1" s="1"/>
  <c r="E11" i="1"/>
  <c r="G11" i="1" s="1"/>
  <c r="E2" i="1"/>
  <c r="G2" i="1" s="1"/>
  <c r="E66" i="1"/>
  <c r="G66" i="1" s="1"/>
  <c r="E34" i="1"/>
  <c r="G34" i="1" s="1"/>
  <c r="E7" i="1"/>
  <c r="G7" i="1" s="1"/>
  <c r="D65" i="1"/>
  <c r="F65" i="1" s="1"/>
  <c r="E68" i="1"/>
  <c r="G68" i="1" s="1"/>
  <c r="E40" i="1"/>
  <c r="G40" i="1" s="1"/>
  <c r="E17" i="1"/>
  <c r="G17" i="1" s="1"/>
  <c r="D26" i="1"/>
  <c r="F26" i="1" s="1"/>
  <c r="E48" i="1"/>
  <c r="G48" i="1" s="1"/>
  <c r="E8" i="1"/>
  <c r="G8" i="1" s="1"/>
  <c r="E5" i="1"/>
  <c r="G5" i="1" s="1"/>
  <c r="D53" i="1"/>
  <c r="F53" i="1" s="1"/>
  <c r="E41" i="1"/>
  <c r="G41" i="1" s="1"/>
  <c r="D40" i="1"/>
  <c r="F40" i="1" s="1"/>
  <c r="D21" i="1"/>
  <c r="F21" i="1" s="1"/>
  <c r="D28" i="1"/>
  <c r="F28" i="1" s="1"/>
  <c r="E35" i="1"/>
  <c r="G35" i="1" s="1"/>
  <c r="E20" i="1"/>
  <c r="G20" i="1" s="1"/>
  <c r="D49" i="1"/>
  <c r="F49" i="1" s="1"/>
  <c r="E58" i="1"/>
  <c r="G58" i="1" s="1"/>
  <c r="E39" i="1"/>
  <c r="G39" i="1" s="1"/>
  <c r="E13" i="1"/>
  <c r="G13" i="1" s="1"/>
  <c r="D15" i="1"/>
  <c r="F15" i="1" s="1"/>
  <c r="E59" i="1"/>
  <c r="G59" i="1" s="1"/>
  <c r="E36" i="1"/>
  <c r="G36" i="1" s="1"/>
  <c r="D48" i="1"/>
  <c r="F48" i="1" s="1"/>
  <c r="D11" i="1"/>
  <c r="F11" i="1" s="1"/>
  <c r="D33" i="1"/>
  <c r="F33" i="1" s="1"/>
  <c r="E50" i="1"/>
  <c r="G50" i="1" s="1"/>
  <c r="D24" i="1"/>
  <c r="F24" i="1" s="1"/>
  <c r="D55" i="1"/>
  <c r="F55" i="1" s="1"/>
  <c r="D8" i="1"/>
  <c r="F8" i="1" s="1"/>
  <c r="E60" i="1"/>
  <c r="G60" i="1" s="1"/>
  <c r="E28" i="1"/>
  <c r="G28" i="1" s="1"/>
  <c r="E65" i="1"/>
  <c r="G65" i="1" s="1"/>
  <c r="D62" i="1"/>
  <c r="F62" i="1" s="1"/>
  <c r="D3" i="1"/>
  <c r="F3" i="1" s="1"/>
  <c r="D57" i="1"/>
  <c r="F57" i="1" s="1"/>
  <c r="D25" i="1"/>
  <c r="F25" i="1" s="1"/>
  <c r="E56" i="1"/>
  <c r="G56" i="1" s="1"/>
  <c r="E15" i="1"/>
  <c r="G15" i="1" s="1"/>
  <c r="D35" i="1"/>
  <c r="F35" i="1" s="1"/>
  <c r="D10" i="1"/>
  <c r="F10" i="1" s="1"/>
  <c r="D13" i="1"/>
  <c r="F13" i="1" s="1"/>
  <c r="D39" i="1"/>
  <c r="F39" i="1" s="1"/>
  <c r="E23" i="1"/>
  <c r="G23" i="1" s="1"/>
  <c r="E4" i="1"/>
  <c r="G4" i="1" s="1"/>
  <c r="D4" i="1"/>
  <c r="F4" i="1" s="1"/>
  <c r="E38" i="1"/>
  <c r="G38" i="1" s="1"/>
  <c r="D38" i="1"/>
  <c r="F38" i="1" s="1"/>
  <c r="E37" i="1"/>
  <c r="G37" i="1" s="1"/>
  <c r="D37" i="1"/>
  <c r="F37" i="1" s="1"/>
  <c r="E29" i="1"/>
  <c r="G29" i="1" s="1"/>
  <c r="D29" i="1"/>
  <c r="F29" i="1" s="1"/>
  <c r="E46" i="1"/>
  <c r="G46" i="1" s="1"/>
  <c r="D46" i="1"/>
  <c r="F46" i="1" s="1"/>
  <c r="E27" i="1"/>
  <c r="G27" i="1" s="1"/>
  <c r="D27" i="1"/>
  <c r="F27" i="1" s="1"/>
  <c r="E63" i="1"/>
  <c r="G63" i="1" s="1"/>
  <c r="D63" i="1"/>
  <c r="F63" i="1" s="1"/>
  <c r="E47" i="1"/>
  <c r="G47" i="1" s="1"/>
  <c r="D47" i="1"/>
  <c r="F47" i="1" s="1"/>
  <c r="D41" i="1"/>
  <c r="F41" i="1" s="1"/>
  <c r="D60" i="1"/>
  <c r="F60" i="1" s="1"/>
  <c r="D54" i="1"/>
  <c r="F54" i="1" s="1"/>
  <c r="D42" i="1"/>
  <c r="F42" i="1" s="1"/>
  <c r="D22" i="1"/>
  <c r="F22" i="1" s="1"/>
  <c r="D6" i="1"/>
  <c r="F6" i="1" s="1"/>
  <c r="E54" i="1"/>
  <c r="G54" i="1" s="1"/>
  <c r="E42" i="1"/>
  <c r="G42" i="1" s="1"/>
  <c r="E22" i="1"/>
  <c r="G22" i="1" s="1"/>
  <c r="E6" i="1"/>
  <c r="G6" i="1" s="1"/>
  <c r="D14" i="1"/>
  <c r="F14" i="1" s="1"/>
  <c r="D16" i="1"/>
  <c r="F16" i="1" s="1"/>
  <c r="D32" i="1"/>
  <c r="F32" i="1" s="1"/>
  <c r="D19" i="1"/>
  <c r="F19" i="1" s="1"/>
  <c r="D45" i="1"/>
  <c r="F45" i="1" s="1"/>
  <c r="D9" i="1"/>
  <c r="F9" i="1" s="1"/>
  <c r="D30" i="1"/>
  <c r="F30" i="1" s="1"/>
  <c r="D58" i="1"/>
  <c r="F58" i="1" s="1"/>
  <c r="D2" i="1"/>
  <c r="F2" i="1" s="1"/>
  <c r="D66" i="1"/>
  <c r="F66" i="1" s="1"/>
  <c r="D20" i="1"/>
  <c r="F20" i="1" s="1"/>
  <c r="D64" i="1"/>
  <c r="F64" i="1" s="1"/>
  <c r="D52" i="1"/>
  <c r="F52" i="1" s="1"/>
  <c r="D44" i="1"/>
  <c r="F44" i="1" s="1"/>
  <c r="D67" i="1"/>
  <c r="F67" i="1" s="1"/>
  <c r="D18" i="1"/>
  <c r="F18" i="1" s="1"/>
  <c r="D31" i="1"/>
  <c r="F31" i="1" s="1"/>
  <c r="D36" i="1"/>
  <c r="F36" i="1" s="1"/>
  <c r="E64" i="1"/>
  <c r="G64" i="1" s="1"/>
  <c r="E52" i="1"/>
  <c r="G52" i="1" s="1"/>
  <c r="E44" i="1"/>
  <c r="G44" i="1" s="1"/>
  <c r="E67" i="1"/>
  <c r="G67" i="1" s="1"/>
  <c r="E18" i="1"/>
  <c r="G18" i="1" s="1"/>
  <c r="D50" i="1"/>
  <c r="F50" i="1" s="1"/>
  <c r="D51" i="1"/>
  <c r="F51" i="1" s="1"/>
  <c r="D61" i="1"/>
  <c r="F61" i="1" s="1"/>
  <c r="D23" i="1"/>
  <c r="F23" i="1" s="1"/>
  <c r="E26" i="1"/>
  <c r="G26" i="1" s="1"/>
  <c r="E25" i="1"/>
  <c r="G25" i="1" s="1"/>
  <c r="D34" i="1"/>
  <c r="F34" i="1" s="1"/>
  <c r="D59" i="1"/>
  <c r="F59" i="1" s="1"/>
  <c r="D43" i="1"/>
  <c r="F43" i="1" s="1"/>
  <c r="D7" i="1"/>
  <c r="F7" i="1" s="1"/>
  <c r="D68" i="1"/>
  <c r="F68" i="1" s="1"/>
  <c r="I17" i="1" l="1"/>
  <c r="H25" i="1"/>
  <c r="H35" i="1"/>
  <c r="H15" i="1"/>
  <c r="I33" i="1"/>
  <c r="H11" i="1"/>
  <c r="I28" i="1"/>
  <c r="I23" i="1"/>
  <c r="H23" i="1"/>
  <c r="H24" i="1"/>
  <c r="H17" i="1"/>
  <c r="I65" i="1"/>
  <c r="I38" i="1"/>
  <c r="H38" i="1"/>
  <c r="I61" i="1"/>
  <c r="H61" i="1"/>
  <c r="I50" i="1"/>
  <c r="H50" i="1"/>
  <c r="H28" i="1"/>
  <c r="I4" i="1"/>
  <c r="H4" i="1"/>
  <c r="H33" i="1"/>
  <c r="I51" i="1"/>
  <c r="H51" i="1"/>
  <c r="I24" i="1"/>
  <c r="I10" i="1"/>
  <c r="I36" i="1"/>
  <c r="H36" i="1"/>
  <c r="H26" i="1"/>
  <c r="H10" i="1"/>
  <c r="I40" i="1"/>
  <c r="I31" i="1"/>
  <c r="H31" i="1"/>
  <c r="I26" i="1"/>
  <c r="I37" i="1"/>
  <c r="H37" i="1"/>
  <c r="I15" i="1"/>
  <c r="I18" i="1"/>
  <c r="H18" i="1"/>
  <c r="H67" i="1"/>
  <c r="I67" i="1"/>
  <c r="I60" i="1"/>
  <c r="H60" i="1"/>
  <c r="I63" i="1"/>
  <c r="H63" i="1"/>
  <c r="I21" i="1"/>
  <c r="I52" i="1"/>
  <c r="H52" i="1"/>
  <c r="I41" i="1"/>
  <c r="H41" i="1"/>
  <c r="H64" i="1"/>
  <c r="I64" i="1"/>
  <c r="I62" i="1"/>
  <c r="I48" i="1"/>
  <c r="I12" i="1"/>
  <c r="I55" i="1"/>
  <c r="H62" i="1"/>
  <c r="H48" i="1"/>
  <c r="H12" i="1"/>
  <c r="H55" i="1"/>
  <c r="H13" i="1"/>
  <c r="I54" i="1"/>
  <c r="H54" i="1"/>
  <c r="I43" i="1"/>
  <c r="H43" i="1"/>
  <c r="I19" i="1"/>
  <c r="H19" i="1"/>
  <c r="H40" i="1"/>
  <c r="I8" i="1"/>
  <c r="H21" i="1"/>
  <c r="H53" i="1"/>
  <c r="I59" i="1"/>
  <c r="H59" i="1"/>
  <c r="I32" i="1"/>
  <c r="H32" i="1"/>
  <c r="H57" i="1"/>
  <c r="I42" i="1"/>
  <c r="H42" i="1"/>
  <c r="I9" i="1"/>
  <c r="H9" i="1"/>
  <c r="I34" i="1"/>
  <c r="H34" i="1"/>
  <c r="I57" i="1"/>
  <c r="I14" i="1"/>
  <c r="H14" i="1"/>
  <c r="H5" i="1"/>
  <c r="I46" i="1"/>
  <c r="H46" i="1"/>
  <c r="I3" i="1"/>
  <c r="I29" i="1"/>
  <c r="H29" i="1"/>
  <c r="H8" i="1"/>
  <c r="I30" i="1"/>
  <c r="H30" i="1"/>
  <c r="I7" i="1"/>
  <c r="H7" i="1"/>
  <c r="I5" i="1"/>
  <c r="I11" i="1"/>
  <c r="H3" i="1"/>
  <c r="I22" i="1"/>
  <c r="H22" i="1"/>
  <c r="I20" i="1"/>
  <c r="H20" i="1"/>
  <c r="I27" i="1"/>
  <c r="H27" i="1"/>
  <c r="I58" i="1"/>
  <c r="H58" i="1"/>
  <c r="I68" i="1"/>
  <c r="H68" i="1"/>
  <c r="I16" i="1"/>
  <c r="H16" i="1"/>
  <c r="I53" i="1"/>
  <c r="H49" i="1"/>
  <c r="I6" i="1"/>
  <c r="H6" i="1"/>
  <c r="I66" i="1"/>
  <c r="H66" i="1"/>
  <c r="H2" i="1"/>
  <c r="I2" i="1"/>
  <c r="I47" i="1"/>
  <c r="H47" i="1"/>
  <c r="I45" i="1"/>
  <c r="H45" i="1"/>
  <c r="I39" i="1"/>
  <c r="I25" i="1"/>
  <c r="J25" i="1" s="1"/>
  <c r="K25" i="1" s="1"/>
  <c r="I44" i="1"/>
  <c r="H44" i="1"/>
  <c r="I13" i="1"/>
  <c r="I35" i="1"/>
  <c r="I56" i="1"/>
  <c r="H39" i="1"/>
  <c r="I49" i="1"/>
  <c r="H65" i="1"/>
  <c r="H56" i="1"/>
  <c r="J15" i="1" l="1"/>
  <c r="J6" i="1"/>
  <c r="J35" i="1"/>
  <c r="J11" i="1"/>
  <c r="J66" i="1"/>
  <c r="J5" i="1"/>
  <c r="J14" i="1"/>
  <c r="J34" i="1"/>
  <c r="J52" i="1"/>
  <c r="J68" i="1"/>
  <c r="K68" i="1" s="1"/>
  <c r="J42" i="1"/>
  <c r="J28" i="1"/>
  <c r="J4" i="1"/>
  <c r="J50" i="1"/>
  <c r="J32" i="1"/>
  <c r="J63" i="1"/>
  <c r="J61" i="1"/>
  <c r="J16" i="1"/>
  <c r="J27" i="1"/>
  <c r="J57" i="1"/>
  <c r="J56" i="1"/>
  <c r="J59" i="1"/>
  <c r="J60" i="1"/>
  <c r="J38" i="1"/>
  <c r="J65" i="1"/>
  <c r="J20" i="1"/>
  <c r="J41" i="1"/>
  <c r="J9" i="1"/>
  <c r="J58" i="1"/>
  <c r="J53" i="1"/>
  <c r="J39" i="1"/>
  <c r="M25" i="1"/>
  <c r="L25" i="1"/>
  <c r="J40" i="1"/>
  <c r="J23" i="1"/>
  <c r="J24" i="1"/>
  <c r="J3" i="1"/>
  <c r="J19" i="1"/>
  <c r="J18" i="1"/>
  <c r="J51" i="1"/>
  <c r="J67" i="1"/>
  <c r="J30" i="1"/>
  <c r="J33" i="1"/>
  <c r="J43" i="1"/>
  <c r="J13" i="1"/>
  <c r="K13" i="1" s="1"/>
  <c r="J31" i="1"/>
  <c r="K31" i="1" s="1"/>
  <c r="J22" i="1"/>
  <c r="J37" i="1"/>
  <c r="J8" i="1"/>
  <c r="J29" i="1"/>
  <c r="J47" i="1"/>
  <c r="J48" i="1"/>
  <c r="J10" i="1"/>
  <c r="J64" i="1"/>
  <c r="J21" i="1"/>
  <c r="J7" i="1"/>
  <c r="J45" i="1"/>
  <c r="J62" i="1"/>
  <c r="J26" i="1"/>
  <c r="J49" i="1"/>
  <c r="J17" i="1"/>
  <c r="J12" i="1"/>
  <c r="J46" i="1"/>
  <c r="J36" i="1"/>
  <c r="J44" i="1"/>
  <c r="J54" i="1"/>
  <c r="J55" i="1"/>
  <c r="J2" i="1"/>
  <c r="K19" i="1" l="1"/>
  <c r="K46" i="1"/>
  <c r="K12" i="1"/>
  <c r="K7" i="1"/>
  <c r="K20" i="1"/>
  <c r="K21" i="1"/>
  <c r="K65" i="1"/>
  <c r="N25" i="1"/>
  <c r="K41" i="1"/>
  <c r="K48" i="1"/>
  <c r="K59" i="1"/>
  <c r="K17" i="1"/>
  <c r="K47" i="1"/>
  <c r="K56" i="1"/>
  <c r="K62" i="1"/>
  <c r="K10" i="1"/>
  <c r="K57" i="1"/>
  <c r="K26" i="1"/>
  <c r="K27" i="1"/>
  <c r="K53" i="1"/>
  <c r="K38" i="1"/>
  <c r="K61" i="1"/>
  <c r="M46" i="1"/>
  <c r="L46" i="1"/>
  <c r="K45" i="1"/>
  <c r="K29" i="1"/>
  <c r="K63" i="1"/>
  <c r="K58" i="1"/>
  <c r="K16" i="1"/>
  <c r="M68" i="1"/>
  <c r="L68" i="1"/>
  <c r="K67" i="1"/>
  <c r="K52" i="1"/>
  <c r="K51" i="1"/>
  <c r="K34" i="1"/>
  <c r="K2" i="1"/>
  <c r="M19" i="1"/>
  <c r="L19" i="1"/>
  <c r="K5" i="1"/>
  <c r="K64" i="1"/>
  <c r="K4" i="1"/>
  <c r="K33" i="1"/>
  <c r="K3" i="1"/>
  <c r="K66" i="1"/>
  <c r="K49" i="1"/>
  <c r="K22" i="1"/>
  <c r="K6" i="1"/>
  <c r="L31" i="1"/>
  <c r="M31" i="1"/>
  <c r="M13" i="1"/>
  <c r="L13" i="1"/>
  <c r="K42" i="1"/>
  <c r="K18" i="1"/>
  <c r="K54" i="1"/>
  <c r="K24" i="1"/>
  <c r="K35" i="1"/>
  <c r="K39" i="1"/>
  <c r="K37" i="1"/>
  <c r="K50" i="1"/>
  <c r="K28" i="1"/>
  <c r="K14" i="1"/>
  <c r="K44" i="1"/>
  <c r="K23" i="1"/>
  <c r="K11" i="1"/>
  <c r="K9" i="1"/>
  <c r="K60" i="1"/>
  <c r="K8" i="1"/>
  <c r="K32" i="1"/>
  <c r="K43" i="1"/>
  <c r="K30" i="1"/>
  <c r="K55" i="1"/>
  <c r="K36" i="1"/>
  <c r="K40" i="1"/>
  <c r="K15" i="1"/>
  <c r="N31" i="1" l="1"/>
  <c r="N13" i="1"/>
  <c r="M51" i="1"/>
  <c r="L51" i="1"/>
  <c r="M44" i="1"/>
  <c r="L44" i="1"/>
  <c r="M67" i="1"/>
  <c r="L67" i="1"/>
  <c r="M11" i="1"/>
  <c r="L11" i="1"/>
  <c r="M54" i="1"/>
  <c r="L54" i="1"/>
  <c r="M61" i="1"/>
  <c r="L61" i="1"/>
  <c r="M60" i="1"/>
  <c r="L60" i="1"/>
  <c r="M23" i="1"/>
  <c r="L23" i="1"/>
  <c r="M58" i="1"/>
  <c r="L58" i="1"/>
  <c r="L45" i="1"/>
  <c r="M45" i="1"/>
  <c r="M3" i="1"/>
  <c r="N19" i="1" s="1"/>
  <c r="L3" i="1"/>
  <c r="M59" i="1"/>
  <c r="L59" i="1"/>
  <c r="M24" i="1"/>
  <c r="L24" i="1"/>
  <c r="M48" i="1"/>
  <c r="L48" i="1"/>
  <c r="M6" i="1"/>
  <c r="L6" i="1"/>
  <c r="M40" i="1"/>
  <c r="L40" i="1"/>
  <c r="M4" i="1"/>
  <c r="L4" i="1"/>
  <c r="M41" i="1"/>
  <c r="L41" i="1"/>
  <c r="M9" i="1"/>
  <c r="L9" i="1"/>
  <c r="N68" i="1"/>
  <c r="M42" i="1"/>
  <c r="L42" i="1"/>
  <c r="L47" i="1"/>
  <c r="M47" i="1"/>
  <c r="M55" i="1"/>
  <c r="L55" i="1"/>
  <c r="M5" i="1"/>
  <c r="L5" i="1"/>
  <c r="M65" i="1"/>
  <c r="L65" i="1"/>
  <c r="M28" i="1"/>
  <c r="L28" i="1"/>
  <c r="M37" i="1"/>
  <c r="L37" i="1"/>
  <c r="M30" i="1"/>
  <c r="L30" i="1"/>
  <c r="M21" i="1"/>
  <c r="L21" i="1"/>
  <c r="M16" i="1"/>
  <c r="L16" i="1"/>
  <c r="L63" i="1"/>
  <c r="M63" i="1"/>
  <c r="M39" i="1"/>
  <c r="L39" i="1"/>
  <c r="M53" i="1"/>
  <c r="L53" i="1"/>
  <c r="M26" i="1"/>
  <c r="L26" i="1"/>
  <c r="M10" i="1"/>
  <c r="L10" i="1"/>
  <c r="M22" i="1"/>
  <c r="L22" i="1"/>
  <c r="M17" i="1"/>
  <c r="L17" i="1"/>
  <c r="M15" i="1"/>
  <c r="L15" i="1"/>
  <c r="M36" i="1"/>
  <c r="L36" i="1"/>
  <c r="M43" i="1"/>
  <c r="L43" i="1"/>
  <c r="M20" i="1"/>
  <c r="L20" i="1"/>
  <c r="L29" i="1"/>
  <c r="M29" i="1"/>
  <c r="M35" i="1"/>
  <c r="L35" i="1"/>
  <c r="M38" i="1"/>
  <c r="L38" i="1"/>
  <c r="L27" i="1"/>
  <c r="M27" i="1"/>
  <c r="M57" i="1"/>
  <c r="L57" i="1"/>
  <c r="M62" i="1"/>
  <c r="L62" i="1"/>
  <c r="M49" i="1"/>
  <c r="L49" i="1"/>
  <c r="M32" i="1"/>
  <c r="L32" i="1"/>
  <c r="L2" i="1"/>
  <c r="M2" i="1"/>
  <c r="M7" i="1"/>
  <c r="L7" i="1"/>
  <c r="M52" i="1"/>
  <c r="L52" i="1"/>
  <c r="M14" i="1"/>
  <c r="L14" i="1"/>
  <c r="M50" i="1"/>
  <c r="L50" i="1"/>
  <c r="M18" i="1"/>
  <c r="L18" i="1"/>
  <c r="M56" i="1"/>
  <c r="L56" i="1"/>
  <c r="L66" i="1"/>
  <c r="M66" i="1"/>
  <c r="M33" i="1"/>
  <c r="L33" i="1"/>
  <c r="M64" i="1"/>
  <c r="L64" i="1"/>
  <c r="M8" i="1"/>
  <c r="L8" i="1"/>
  <c r="M34" i="1"/>
  <c r="L34" i="1"/>
  <c r="M12" i="1"/>
  <c r="L12" i="1"/>
  <c r="N40" i="1" l="1"/>
  <c r="N38" i="1"/>
  <c r="N57" i="1"/>
  <c r="N24" i="1"/>
  <c r="N8" i="1"/>
  <c r="N30" i="1"/>
  <c r="N59" i="1"/>
  <c r="N12" i="1"/>
  <c r="N21" i="1"/>
  <c r="N64" i="1"/>
  <c r="N35" i="1"/>
  <c r="N37" i="1"/>
  <c r="N33" i="1"/>
  <c r="N45" i="1"/>
  <c r="N29" i="1"/>
  <c r="N3" i="1"/>
  <c r="N66" i="1"/>
  <c r="N28" i="1"/>
  <c r="N63" i="1"/>
  <c r="N65" i="1"/>
  <c r="N58" i="1"/>
  <c r="N56" i="1"/>
  <c r="N27" i="1"/>
  <c r="N43" i="1"/>
  <c r="N5" i="1"/>
  <c r="N39" i="1"/>
  <c r="N20" i="1"/>
  <c r="N23" i="1"/>
  <c r="N18" i="1"/>
  <c r="N46" i="1"/>
  <c r="N48" i="1"/>
  <c r="N52" i="1"/>
  <c r="N47" i="1"/>
  <c r="N22" i="1"/>
  <c r="N11" i="1"/>
  <c r="N62" i="1"/>
  <c r="N34" i="1"/>
  <c r="N36" i="1"/>
  <c r="N2" i="1"/>
  <c r="N10" i="1"/>
  <c r="N67" i="1"/>
  <c r="N16" i="1"/>
  <c r="N50" i="1"/>
  <c r="N41" i="1"/>
  <c r="N6" i="1"/>
  <c r="N60" i="1"/>
  <c r="N15" i="1"/>
  <c r="N17" i="1"/>
  <c r="N9" i="1"/>
  <c r="N26" i="1"/>
  <c r="N44" i="1"/>
  <c r="N49" i="1"/>
  <c r="N61" i="1"/>
  <c r="N54" i="1"/>
  <c r="N32" i="1"/>
  <c r="N4" i="1"/>
  <c r="N55" i="1"/>
  <c r="N14" i="1"/>
  <c r="N42" i="1"/>
  <c r="N7" i="1"/>
  <c r="N53" i="1"/>
  <c r="N51" i="1"/>
  <c r="O13" i="1" l="1"/>
  <c r="O4" i="1"/>
  <c r="O68" i="1"/>
  <c r="O22" i="1"/>
  <c r="O10" i="1"/>
  <c r="O54" i="1"/>
  <c r="O9" i="1"/>
  <c r="O56" i="1"/>
  <c r="O2" i="1"/>
  <c r="O65" i="1"/>
  <c r="O31" i="1"/>
  <c r="O7" i="1"/>
  <c r="O49" i="1"/>
  <c r="O61" i="1"/>
  <c r="O14" i="1"/>
  <c r="O45" i="1"/>
  <c r="O59" i="1"/>
  <c r="O40" i="1"/>
  <c r="O58" i="1"/>
  <c r="O24" i="1"/>
  <c r="O20" i="1"/>
  <c r="O34" i="1"/>
  <c r="O36" i="1"/>
  <c r="O41" i="1"/>
  <c r="O23" i="1"/>
  <c r="O15" i="1"/>
  <c r="O37" i="1"/>
  <c r="O46" i="1"/>
  <c r="O57" i="1"/>
  <c r="O32" i="1"/>
  <c r="O16" i="1"/>
  <c r="O6" i="1"/>
  <c r="O55" i="1"/>
  <c r="O39" i="1"/>
  <c r="O51" i="1"/>
  <c r="O21" i="1"/>
  <c r="O12" i="1"/>
  <c r="O60" i="1"/>
  <c r="O33" i="1"/>
  <c r="O11" i="1"/>
  <c r="O47" i="1"/>
  <c r="O17" i="1"/>
  <c r="O62" i="1"/>
  <c r="O44" i="1"/>
  <c r="O8" i="1"/>
  <c r="O35" i="1"/>
  <c r="O38" i="1"/>
  <c r="O52" i="1"/>
  <c r="O67" i="1"/>
  <c r="O43" i="1"/>
  <c r="O28" i="1"/>
  <c r="O48" i="1"/>
  <c r="O26" i="1"/>
  <c r="O64" i="1"/>
  <c r="O18" i="1"/>
  <c r="O29" i="1"/>
  <c r="O30" i="1"/>
  <c r="O5" i="1"/>
  <c r="O25" i="1"/>
  <c r="O63" i="1"/>
  <c r="O3" i="1"/>
  <c r="O66" i="1"/>
  <c r="O27" i="1"/>
  <c r="O42" i="1"/>
  <c r="O19" i="1"/>
  <c r="O53" i="1"/>
  <c r="O50" i="1"/>
</calcChain>
</file>

<file path=xl/sharedStrings.xml><?xml version="1.0" encoding="utf-8"?>
<sst xmlns="http://schemas.openxmlformats.org/spreadsheetml/2006/main" count="82" uniqueCount="82">
  <si>
    <t>Tuberculosis</t>
  </si>
  <si>
    <t>Malaria</t>
  </si>
  <si>
    <t>HIV</t>
  </si>
  <si>
    <t>S.pneumoniae</t>
  </si>
  <si>
    <t>HepB</t>
  </si>
  <si>
    <t>Rotavirus</t>
  </si>
  <si>
    <t>HepC</t>
  </si>
  <si>
    <t>Pertussis</t>
  </si>
  <si>
    <t>S.aureus</t>
  </si>
  <si>
    <t>Shigella</t>
  </si>
  <si>
    <t>Influenza</t>
  </si>
  <si>
    <t>Adenovirus</t>
  </si>
  <si>
    <t>K.pneumoniae</t>
  </si>
  <si>
    <t>Cryptosporidium</t>
  </si>
  <si>
    <t>Measles</t>
  </si>
  <si>
    <t>Typhoid fever</t>
  </si>
  <si>
    <t>RSV</t>
  </si>
  <si>
    <t>Norovirus</t>
  </si>
  <si>
    <t>Syphilis</t>
  </si>
  <si>
    <t>Scabies</t>
  </si>
  <si>
    <t>Campylobacter</t>
  </si>
  <si>
    <t>Cholera</t>
  </si>
  <si>
    <t>Acne vulgaris</t>
  </si>
  <si>
    <t>H.influenzae</t>
  </si>
  <si>
    <t>P.aeruginosa</t>
  </si>
  <si>
    <t>S.agalactiae</t>
  </si>
  <si>
    <t>Mycoplasma</t>
  </si>
  <si>
    <t>A.baumannii</t>
  </si>
  <si>
    <t>Entamoeba</t>
  </si>
  <si>
    <t>HepA</t>
  </si>
  <si>
    <t>N.meningitidis</t>
  </si>
  <si>
    <t>Dengue</t>
  </si>
  <si>
    <t>Tetanus</t>
  </si>
  <si>
    <t>Schistosomiasis</t>
  </si>
  <si>
    <t>Non-typhoidal Salmonella</t>
  </si>
  <si>
    <t>Lymphatic filariasis</t>
  </si>
  <si>
    <t>Legionella</t>
  </si>
  <si>
    <t>Paratyphoid fever</t>
  </si>
  <si>
    <t>Aeromonas</t>
  </si>
  <si>
    <t>Trematodiases</t>
  </si>
  <si>
    <t>Onchocerciasis</t>
  </si>
  <si>
    <t>Cysticercosis</t>
  </si>
  <si>
    <t>Enterobacter</t>
  </si>
  <si>
    <t>VZV</t>
  </si>
  <si>
    <t>L.monocytogenes</t>
  </si>
  <si>
    <t>Leishmaniasis</t>
  </si>
  <si>
    <t>Ascariasis</t>
  </si>
  <si>
    <t>Hookworm disease</t>
  </si>
  <si>
    <t>Rabies</t>
  </si>
  <si>
    <t>Diphtheria</t>
  </si>
  <si>
    <t>Yellow fever</t>
  </si>
  <si>
    <t>C.difficile</t>
  </si>
  <si>
    <t>HepE</t>
  </si>
  <si>
    <t>Trichomoniasis</t>
  </si>
  <si>
    <t>Chagas disease</t>
  </si>
  <si>
    <t>Genital herpes</t>
  </si>
  <si>
    <t>Trichuriasis</t>
  </si>
  <si>
    <t>Chlamydia</t>
  </si>
  <si>
    <t>Af trypanosomiasis</t>
  </si>
  <si>
    <t>Echinococcosis</t>
  </si>
  <si>
    <t>Gonorrhoea</t>
  </si>
  <si>
    <t>Leprosy</t>
  </si>
  <si>
    <t>Zika</t>
  </si>
  <si>
    <t>Ebola</t>
  </si>
  <si>
    <t>Guinea worm disease</t>
  </si>
  <si>
    <t>COVID-19</t>
  </si>
  <si>
    <t>E.coli</t>
  </si>
  <si>
    <t>disease name (input)</t>
  </si>
  <si>
    <t>Disease burden data (input),
DALY/mortality/incidence etc.</t>
  </si>
  <si>
    <t>Research effor data (input)
Publication counts, grant, project, drugs etc.</t>
  </si>
  <si>
    <t>Remove zero value from Col B</t>
  </si>
  <si>
    <t>Remove zero value from Col C</t>
  </si>
  <si>
    <t>Log tranformation of Col D</t>
  </si>
  <si>
    <t>Log tranformation of Col E</t>
  </si>
  <si>
    <t>Remove outlier from Col F</t>
  </si>
  <si>
    <t>Remove outlier from Col G</t>
  </si>
  <si>
    <t>Residual from 1st regression line</t>
  </si>
  <si>
    <t>Standardization of Col J</t>
  </si>
  <si>
    <t>Col H after exclusing outlier in Col K</t>
  </si>
  <si>
    <t>Col I after exclusing outlier in Col K</t>
  </si>
  <si>
    <t>Residual from 2nd regression line</t>
  </si>
  <si>
    <t>BARI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</si>
</sst>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5">
    <xf numFmtId="0" fontId="0" fillId="0" borderId="0" xfId="0"/>
    <xf numFmtId="0" fontId="1" fillId="3" borderId="1" xfId="1" applyFill="1" applyAlignment="1">
      <alignment horizontal="center" textRotation="90" wrapText="1"/>
    </xf>
    <xf numFmtId="0" fontId="0" fillId="0" borderId="0" xfId="0" applyAlignment="1">
      <alignment wrapText="1"/>
    </xf>
    <xf numFmtId="0" fontId="0" fillId="4" borderId="0" xfId="0" applyFill="1" applyAlignment="1">
      <alignment horizontal="center" textRotation="90" wrapText="1"/>
    </xf>
    <xf numFmtId="0" fontId="0" fillId="4" borderId="0" xfId="0" applyFill="1"/>
  </cellXfs>
  <cellStyles count="2">
    <cellStyle name="Input" xfId="1" builtinId="20"/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387350</xdr:colOff>
      <xdr:row>2</xdr:row>
      <xdr:rowOff>101600</xdr:rowOff>
    </xdr:from>
    <xdr:ext cx="7169150" cy="4475712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0A13A0F-A68B-AF92-CCA7-719B5079BF73}"/>
            </a:ext>
          </a:extLst>
        </xdr:cNvPr>
        <xdr:cNvSpPr txBox="1"/>
      </xdr:nvSpPr>
      <xdr:spPr>
        <a:xfrm>
          <a:off x="12865100" y="2400300"/>
          <a:ext cx="7169150" cy="4475712"/>
        </a:xfrm>
        <a:prstGeom prst="rect">
          <a:avLst/>
        </a:prstGeom>
        <a:solidFill>
          <a:schemeClr val="bg1"/>
        </a:solidFill>
        <a:ln>
          <a:solidFill>
            <a:schemeClr val="tx1">
              <a:lumMod val="85000"/>
              <a:lumOff val="1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2000"/>
            <a:t>Please paste your data on:</a:t>
          </a:r>
        </a:p>
        <a:p>
          <a:r>
            <a:rPr lang="en-US" sz="2000"/>
            <a:t>Disease burden (e.g., DALY) to Column B</a:t>
          </a:r>
        </a:p>
        <a:p>
          <a:r>
            <a:rPr lang="en-US" sz="2000"/>
            <a:t>Researh effort (e.g.,</a:t>
          </a:r>
          <a:r>
            <a:rPr lang="en-US" sz="2000" baseline="0"/>
            <a:t> Publication count) to Column C</a:t>
          </a:r>
        </a:p>
        <a:p>
          <a:endParaRPr lang="en-US" sz="2000" baseline="0"/>
        </a:p>
        <a:p>
          <a:r>
            <a:rPr lang="en-US" sz="2000" baseline="0"/>
            <a:t>Column A can be used for labeling</a:t>
          </a:r>
        </a:p>
        <a:p>
          <a:endParaRPr lang="en-US" sz="2000" baseline="0"/>
        </a:p>
        <a:p>
          <a:r>
            <a:rPr lang="en-US" sz="2000" baseline="0"/>
            <a:t>By "Copy&amp;Ppse" or "Deleting" contents from Column D to Column N,</a:t>
          </a:r>
        </a:p>
        <a:p>
          <a:r>
            <a:rPr lang="en-US" sz="2000" baseline="0"/>
            <a:t>the BARI index in Column O will be calculated automatically</a:t>
          </a:r>
        </a:p>
        <a:p>
          <a:endParaRPr lang="en-US" sz="2000" baseline="0"/>
        </a:p>
        <a:p>
          <a:r>
            <a:rPr lang="en-US" sz="2000" baseline="0"/>
            <a:t>Green values indicate significantly high relative research intensity,</a:t>
          </a:r>
        </a:p>
        <a:p>
          <a:r>
            <a:rPr lang="en-US" sz="2000" baseline="0"/>
            <a:t>and Red values indicate significantly low research intensity</a:t>
          </a:r>
        </a:p>
        <a:p>
          <a:endParaRPr lang="en-US" sz="2000" baseline="0"/>
        </a:p>
        <a:p>
          <a:r>
            <a:rPr lang="en-US" sz="2000" baseline="0"/>
            <a:t>Pre-filled values are for the calculation of BARI index,</a:t>
          </a:r>
        </a:p>
        <a:p>
          <a:r>
            <a:rPr lang="en-US" sz="2000" baseline="0"/>
            <a:t>using data of DALYs and publication counts in 2020-2023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AB774-A274-4C7A-A613-E29538348A59}">
  <dimension ref="A1:O68"/>
  <sheetViews>
    <sheetView tabSelected="1"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4.5" x14ac:dyDescent="0.35"/>
  <cols>
    <col min="1" max="3" width="24.6328125" customWidth="1"/>
  </cols>
  <sheetData>
    <row r="1" spans="1:15" ht="166.5" customHeight="1" x14ac:dyDescent="0.35">
      <c r="A1" t="s">
        <v>67</v>
      </c>
      <c r="B1" s="2" t="s">
        <v>68</v>
      </c>
      <c r="C1" s="2" t="s">
        <v>69</v>
      </c>
      <c r="D1" s="3" t="s">
        <v>70</v>
      </c>
      <c r="E1" s="3" t="s">
        <v>71</v>
      </c>
      <c r="F1" s="3" t="s">
        <v>72</v>
      </c>
      <c r="G1" s="3" t="s">
        <v>73</v>
      </c>
      <c r="H1" s="3" t="s">
        <v>74</v>
      </c>
      <c r="I1" s="3" t="s">
        <v>75</v>
      </c>
      <c r="J1" s="3" t="s">
        <v>76</v>
      </c>
      <c r="K1" s="3" t="s">
        <v>77</v>
      </c>
      <c r="L1" s="3" t="s">
        <v>78</v>
      </c>
      <c r="M1" s="3" t="s">
        <v>79</v>
      </c>
      <c r="N1" s="3" t="s">
        <v>80</v>
      </c>
      <c r="O1" s="1" t="s">
        <v>81</v>
      </c>
    </row>
    <row r="2" spans="1:15" x14ac:dyDescent="0.35">
      <c r="A2" t="s">
        <v>27</v>
      </c>
      <c r="B2">
        <v>9423032.1347937007</v>
      </c>
      <c r="C2">
        <v>2135</v>
      </c>
      <c r="D2" s="4">
        <f t="shared" ref="D2:D33" si="0">IF(OR(B2=0,C2=0),"",B2)</f>
        <v>9423032.1347937007</v>
      </c>
      <c r="E2" s="4">
        <f t="shared" ref="E2:E33" si="1">IF(OR(B2=0,C2=0),"",C2)</f>
        <v>2135</v>
      </c>
      <c r="F2" s="4">
        <f t="shared" ref="F2:F33" si="2">IF(D2="","",LOG10(D2))</f>
        <v>6.9741906721687652</v>
      </c>
      <c r="G2" s="4">
        <f t="shared" ref="G2:G33" si="3">IF(E2="","",LOG10(E2))</f>
        <v>3.3293978793610428</v>
      </c>
      <c r="H2" s="4">
        <f t="shared" ref="H2:H33" si="4">IF(OR(F2="",G2=""),"",IF(OR(ABS(F2-AVERAGE(F$2:F$68))&gt;_xlfn.STDEV.S(F$2:F$68)*2,ABS(G2-AVERAGE(G$2:G$68))&gt;_xlfn.STDEV.S(G$2:G$68)*2),"",F2))</f>
        <v>6.9741906721687652</v>
      </c>
      <c r="I2" s="4">
        <f t="shared" ref="I2:I33" si="5">IF(OR(F2="",G2=""),"",IF(OR(ABS(F2-AVERAGE(F$2:F$68))&gt;_xlfn.STDEV.S(F$2:F$68)*2,ABS(G2-AVERAGE(G$2:G$68))&gt;_xlfn.STDEV.S(G$2:G$68)*2),"",G2))</f>
        <v>3.3293978793610428</v>
      </c>
      <c r="J2" s="4">
        <f t="shared" ref="J2:J33" si="6">IF(OR(H2="",I2=""),"", (I2-(SLOPE(I$2:I$68,H$2:H$68)*H2+INTERCEPT(I$2:I$68,H$2:H$68))))</f>
        <v>0.1937505971974427</v>
      </c>
      <c r="K2" s="4">
        <f t="shared" ref="K2:K33" si="7">IF(J2="","", J2/_xlfn.STDEV.S(J$2:J$68))</f>
        <v>0.41970113021917671</v>
      </c>
      <c r="L2" s="4">
        <f t="shared" ref="L2:L33" si="8">IF(OR(K2&lt;-2,K2&gt;2),"",H2)</f>
        <v>6.9741906721687652</v>
      </c>
      <c r="M2" s="4">
        <f t="shared" ref="M2:M33" si="9">IF(OR(K2&lt;-2,K2&gt;2),"",I2)</f>
        <v>3.3293978793610428</v>
      </c>
      <c r="N2" s="4">
        <f t="shared" ref="N2:N33" si="10">IF(OR(M2="",L2=""),"", (M2-(SLOPE(M$2:M$68,L$2:L$68)*L2+INTERCEPT(M$2:M$68,L$2:L$68))))</f>
        <v>0.1774207906225751</v>
      </c>
      <c r="O2">
        <f t="shared" ref="O2:O33" si="11">IF(AND(C2=0,B2=0),0,IF(AND(B2&gt;0,C2=0),-4.9,IF(AND(B2=0,C2&gt;0),4.9,(G2-(SLOPE(M$2:M$68,L$2:L$68)*F2+INTERCEPT(M$2:M$68,L$2:L$68)))/_xlfn.STDEV.S(N$2:N$68))))</f>
        <v>0.39998101485073795</v>
      </c>
    </row>
    <row r="3" spans="1:15" x14ac:dyDescent="0.35">
      <c r="A3" t="s">
        <v>22</v>
      </c>
      <c r="B3">
        <v>4522371.5588295804</v>
      </c>
      <c r="C3">
        <v>2370</v>
      </c>
      <c r="D3" s="4">
        <f t="shared" si="0"/>
        <v>4522371.5588295804</v>
      </c>
      <c r="E3" s="4">
        <f t="shared" si="1"/>
        <v>2370</v>
      </c>
      <c r="F3" s="4">
        <f t="shared" si="2"/>
        <v>6.6553662411849892</v>
      </c>
      <c r="G3" s="4">
        <f t="shared" si="3"/>
        <v>3.374748346010104</v>
      </c>
      <c r="H3" s="4">
        <f t="shared" si="4"/>
        <v>6.6553662411849892</v>
      </c>
      <c r="I3" s="4">
        <f t="shared" si="5"/>
        <v>3.374748346010104</v>
      </c>
      <c r="J3" s="4">
        <f t="shared" si="6"/>
        <v>0.32520727378897973</v>
      </c>
      <c r="K3" s="4">
        <f t="shared" si="7"/>
        <v>0.70446162406220225</v>
      </c>
      <c r="L3" s="4">
        <f t="shared" si="8"/>
        <v>6.6553662411849892</v>
      </c>
      <c r="M3" s="4">
        <f t="shared" si="9"/>
        <v>3.374748346010104</v>
      </c>
      <c r="N3" s="4">
        <f t="shared" si="10"/>
        <v>0.30632710571374178</v>
      </c>
      <c r="O3">
        <f t="shared" si="11"/>
        <v>0.69059001591486302</v>
      </c>
    </row>
    <row r="4" spans="1:15" x14ac:dyDescent="0.35">
      <c r="A4" t="s">
        <v>11</v>
      </c>
      <c r="B4">
        <v>34723918.373014189</v>
      </c>
      <c r="C4">
        <v>546</v>
      </c>
      <c r="D4" s="4">
        <f t="shared" si="0"/>
        <v>34723918.373014189</v>
      </c>
      <c r="E4" s="4">
        <f t="shared" si="1"/>
        <v>546</v>
      </c>
      <c r="F4" s="4">
        <f t="shared" si="2"/>
        <v>7.5406287266357888</v>
      </c>
      <c r="G4" s="4">
        <f t="shared" si="3"/>
        <v>2.7371926427047373</v>
      </c>
      <c r="H4" s="4">
        <f t="shared" si="4"/>
        <v>7.5406287266357888</v>
      </c>
      <c r="I4" s="4">
        <f t="shared" si="5"/>
        <v>2.7371926427047373</v>
      </c>
      <c r="J4" s="4">
        <f t="shared" si="6"/>
        <v>-0.55143486712475065</v>
      </c>
      <c r="K4" s="4">
        <f t="shared" si="7"/>
        <v>-1.1945141863933006</v>
      </c>
      <c r="L4" s="4">
        <f t="shared" si="8"/>
        <v>7.5406287266357888</v>
      </c>
      <c r="M4" s="4">
        <f t="shared" si="9"/>
        <v>2.7371926427047373</v>
      </c>
      <c r="N4" s="4">
        <f t="shared" si="10"/>
        <v>-0.56323358490570152</v>
      </c>
      <c r="O4">
        <f t="shared" si="11"/>
        <v>-1.2697651729432475</v>
      </c>
    </row>
    <row r="5" spans="1:15" x14ac:dyDescent="0.35">
      <c r="A5" t="s">
        <v>38</v>
      </c>
      <c r="B5">
        <v>5101770.6033278592</v>
      </c>
      <c r="C5">
        <v>629</v>
      </c>
      <c r="D5" s="4">
        <f t="shared" si="0"/>
        <v>5101770.6033278592</v>
      </c>
      <c r="E5" s="4">
        <f t="shared" si="1"/>
        <v>629</v>
      </c>
      <c r="F5" s="4">
        <f t="shared" si="2"/>
        <v>6.7077209270396203</v>
      </c>
      <c r="G5" s="4">
        <f t="shared" si="3"/>
        <v>2.7986506454452691</v>
      </c>
      <c r="H5" s="4">
        <f t="shared" si="4"/>
        <v>6.7077209270396203</v>
      </c>
      <c r="I5" s="4">
        <f t="shared" si="5"/>
        <v>2.7986506454452691</v>
      </c>
      <c r="J5" s="4">
        <f t="shared" si="6"/>
        <v>-0.26503006958102215</v>
      </c>
      <c r="K5" s="4">
        <f t="shared" si="7"/>
        <v>-0.57410620330562889</v>
      </c>
      <c r="L5" s="4">
        <f t="shared" si="8"/>
        <v>6.7077209270396203</v>
      </c>
      <c r="M5" s="4">
        <f t="shared" si="9"/>
        <v>2.7986506454452691</v>
      </c>
      <c r="N5" s="4">
        <f t="shared" si="10"/>
        <v>-0.28349143858632786</v>
      </c>
      <c r="O5">
        <f t="shared" si="11"/>
        <v>-0.63910882658882218</v>
      </c>
    </row>
    <row r="6" spans="1:15" x14ac:dyDescent="0.35">
      <c r="A6" t="s">
        <v>58</v>
      </c>
      <c r="B6">
        <v>251926.1848108393</v>
      </c>
      <c r="C6">
        <v>936</v>
      </c>
      <c r="D6" s="4">
        <f t="shared" si="0"/>
        <v>251926.1848108393</v>
      </c>
      <c r="E6" s="4">
        <f t="shared" si="1"/>
        <v>936</v>
      </c>
      <c r="F6" s="4">
        <f t="shared" si="2"/>
        <v>5.4012733097285501</v>
      </c>
      <c r="G6" s="4">
        <f t="shared" si="3"/>
        <v>2.971275848738105</v>
      </c>
      <c r="H6" s="4">
        <f t="shared" si="4"/>
        <v>5.4012733097285501</v>
      </c>
      <c r="I6" s="4">
        <f t="shared" si="5"/>
        <v>2.971275848738105</v>
      </c>
      <c r="J6" s="4">
        <f t="shared" si="6"/>
        <v>0.26043275179497405</v>
      </c>
      <c r="K6" s="4">
        <f t="shared" si="7"/>
        <v>0.56414752705538307</v>
      </c>
      <c r="L6" s="4">
        <f t="shared" si="8"/>
        <v>5.4012733097285501</v>
      </c>
      <c r="M6" s="4">
        <f t="shared" si="9"/>
        <v>2.971275848738105</v>
      </c>
      <c r="N6" s="4">
        <f t="shared" si="10"/>
        <v>0.23152076049839732</v>
      </c>
      <c r="O6">
        <f t="shared" si="11"/>
        <v>0.52194507993236638</v>
      </c>
    </row>
    <row r="7" spans="1:15" x14ac:dyDescent="0.35">
      <c r="A7" t="s">
        <v>46</v>
      </c>
      <c r="B7">
        <v>3359680.9760753261</v>
      </c>
      <c r="C7">
        <v>159</v>
      </c>
      <c r="D7" s="4">
        <f t="shared" si="0"/>
        <v>3359680.9760753261</v>
      </c>
      <c r="E7" s="4">
        <f t="shared" si="1"/>
        <v>159</v>
      </c>
      <c r="F7" s="4">
        <f t="shared" si="2"/>
        <v>6.5262980402148418</v>
      </c>
      <c r="G7" s="4">
        <f t="shared" si="3"/>
        <v>2.2013971243204513</v>
      </c>
      <c r="H7" s="4">
        <f t="shared" si="4"/>
        <v>6.5262980402148418</v>
      </c>
      <c r="I7" s="4">
        <f t="shared" si="5"/>
        <v>2.2013971243204513</v>
      </c>
      <c r="J7" s="4">
        <f t="shared" si="6"/>
        <v>-0.81328597426502425</v>
      </c>
      <c r="K7" s="4">
        <f t="shared" si="7"/>
        <v>-1.761734144450628</v>
      </c>
      <c r="L7" s="4">
        <f t="shared" si="8"/>
        <v>6.5262980402148418</v>
      </c>
      <c r="M7" s="4">
        <f t="shared" si="9"/>
        <v>2.2013971243204513</v>
      </c>
      <c r="N7" s="4">
        <f t="shared" si="10"/>
        <v>-0.83319859324015288</v>
      </c>
      <c r="O7">
        <f t="shared" si="11"/>
        <v>-1.8783797418947976</v>
      </c>
    </row>
    <row r="8" spans="1:15" x14ac:dyDescent="0.35">
      <c r="A8" t="s">
        <v>51</v>
      </c>
      <c r="B8">
        <v>1216362.233277329</v>
      </c>
      <c r="C8">
        <v>2367</v>
      </c>
      <c r="D8" s="4">
        <f t="shared" si="0"/>
        <v>1216362.233277329</v>
      </c>
      <c r="E8" s="4">
        <f t="shared" si="1"/>
        <v>2367</v>
      </c>
      <c r="F8" s="4">
        <f t="shared" si="2"/>
        <v>6.0850629273107302</v>
      </c>
      <c r="G8" s="4">
        <f t="shared" si="3"/>
        <v>3.3741982579290828</v>
      </c>
      <c r="H8" s="4">
        <f t="shared" si="4"/>
        <v>6.0850629273107302</v>
      </c>
      <c r="I8" s="4">
        <f t="shared" si="5"/>
        <v>3.3741982579290828</v>
      </c>
      <c r="J8" s="4">
        <f t="shared" si="6"/>
        <v>0.4786813196923636</v>
      </c>
      <c r="K8" s="4">
        <f t="shared" si="7"/>
        <v>1.0369159826896459</v>
      </c>
      <c r="L8" s="4">
        <f t="shared" si="8"/>
        <v>6.0850629273107302</v>
      </c>
      <c r="M8" s="4">
        <f t="shared" si="9"/>
        <v>3.3741982579290828</v>
      </c>
      <c r="N8" s="4">
        <f t="shared" si="10"/>
        <v>0.45523914358420736</v>
      </c>
      <c r="O8">
        <f t="shared" si="11"/>
        <v>1.0263003225926512</v>
      </c>
    </row>
    <row r="9" spans="1:15" x14ac:dyDescent="0.35">
      <c r="A9" t="s">
        <v>20</v>
      </c>
      <c r="B9">
        <v>14427691.687112529</v>
      </c>
      <c r="C9">
        <v>1211</v>
      </c>
      <c r="D9" s="4">
        <f t="shared" si="0"/>
        <v>14427691.687112529</v>
      </c>
      <c r="E9" s="4">
        <f t="shared" si="1"/>
        <v>1211</v>
      </c>
      <c r="F9" s="4">
        <f t="shared" si="2"/>
        <v>7.1591968530796226</v>
      </c>
      <c r="G9" s="4">
        <f t="shared" si="3"/>
        <v>3.0831441431430524</v>
      </c>
      <c r="H9" s="4">
        <f t="shared" si="4"/>
        <v>7.1591968530796226</v>
      </c>
      <c r="I9" s="4">
        <f t="shared" si="5"/>
        <v>3.0831441431430524</v>
      </c>
      <c r="J9" s="4">
        <f t="shared" si="6"/>
        <v>-0.10246851025954351</v>
      </c>
      <c r="K9" s="4">
        <f t="shared" si="7"/>
        <v>-0.22196653940622463</v>
      </c>
      <c r="L9" s="4">
        <f t="shared" si="8"/>
        <v>7.1591968530796226</v>
      </c>
      <c r="M9" s="4">
        <f t="shared" si="9"/>
        <v>3.0831441431430524</v>
      </c>
      <c r="N9" s="4">
        <f t="shared" si="10"/>
        <v>-0.11731840314125508</v>
      </c>
      <c r="O9">
        <f t="shared" si="11"/>
        <v>-0.26448497825111389</v>
      </c>
    </row>
    <row r="10" spans="1:15" x14ac:dyDescent="0.35">
      <c r="A10" t="s">
        <v>54</v>
      </c>
      <c r="B10">
        <v>1133028.7671490419</v>
      </c>
      <c r="C10">
        <v>2367</v>
      </c>
      <c r="D10" s="4">
        <f t="shared" si="0"/>
        <v>1133028.7671490419</v>
      </c>
      <c r="E10" s="4">
        <f t="shared" si="1"/>
        <v>2367</v>
      </c>
      <c r="F10" s="4">
        <f t="shared" si="2"/>
        <v>6.0542409365672682</v>
      </c>
      <c r="G10" s="4">
        <f t="shared" si="3"/>
        <v>3.3741982579290828</v>
      </c>
      <c r="H10" s="4">
        <f t="shared" si="4"/>
        <v>6.0542409365672682</v>
      </c>
      <c r="I10" s="4">
        <f t="shared" si="5"/>
        <v>3.3741982579290828</v>
      </c>
      <c r="J10" s="4">
        <f t="shared" si="6"/>
        <v>0.4870055400088944</v>
      </c>
      <c r="K10" s="4">
        <f t="shared" si="7"/>
        <v>1.0549478480132979</v>
      </c>
      <c r="L10" s="4">
        <f t="shared" si="8"/>
        <v>6.0542409365672682</v>
      </c>
      <c r="M10" s="4">
        <f t="shared" si="9"/>
        <v>3.3741982579290828</v>
      </c>
      <c r="N10" s="4">
        <f t="shared" si="10"/>
        <v>0.46331681059140006</v>
      </c>
      <c r="O10">
        <f t="shared" si="11"/>
        <v>1.0445107782885474</v>
      </c>
    </row>
    <row r="11" spans="1:15" x14ac:dyDescent="0.35">
      <c r="A11" t="s">
        <v>57</v>
      </c>
      <c r="B11">
        <v>733707.13837341196</v>
      </c>
      <c r="C11">
        <v>2034</v>
      </c>
      <c r="D11" s="4">
        <f t="shared" si="0"/>
        <v>733707.13837341196</v>
      </c>
      <c r="E11" s="4">
        <f t="shared" si="1"/>
        <v>2034</v>
      </c>
      <c r="F11" s="4">
        <f t="shared" si="2"/>
        <v>5.8655227444272366</v>
      </c>
      <c r="G11" s="4">
        <f t="shared" si="3"/>
        <v>3.308350948586726</v>
      </c>
      <c r="H11" s="4">
        <f t="shared" si="4"/>
        <v>5.8655227444272366</v>
      </c>
      <c r="I11" s="4">
        <f t="shared" si="5"/>
        <v>3.308350948586726</v>
      </c>
      <c r="J11" s="4">
        <f t="shared" si="6"/>
        <v>0.47212611986572162</v>
      </c>
      <c r="K11" s="4">
        <f t="shared" si="7"/>
        <v>1.0227161566460103</v>
      </c>
      <c r="L11" s="4">
        <f t="shared" si="8"/>
        <v>5.8655227444272366</v>
      </c>
      <c r="M11" s="4">
        <f t="shared" si="9"/>
        <v>3.308350948586726</v>
      </c>
      <c r="N11" s="4">
        <f t="shared" si="10"/>
        <v>0.44692778338904349</v>
      </c>
      <c r="O11">
        <f t="shared" si="11"/>
        <v>1.0075630242524383</v>
      </c>
    </row>
    <row r="12" spans="1:15" x14ac:dyDescent="0.35">
      <c r="A12" t="s">
        <v>21</v>
      </c>
      <c r="B12">
        <v>15682666.901131589</v>
      </c>
      <c r="C12">
        <v>1226</v>
      </c>
      <c r="D12" s="4">
        <f t="shared" si="0"/>
        <v>15682666.901131589</v>
      </c>
      <c r="E12" s="4">
        <f t="shared" si="1"/>
        <v>1226</v>
      </c>
      <c r="F12" s="4">
        <f t="shared" si="2"/>
        <v>7.1954199181672722</v>
      </c>
      <c r="G12" s="4">
        <f t="shared" si="3"/>
        <v>3.0884904701823963</v>
      </c>
      <c r="H12" s="4">
        <f t="shared" si="4"/>
        <v>7.1954199181672722</v>
      </c>
      <c r="I12" s="4">
        <f t="shared" si="5"/>
        <v>3.0884904701823963</v>
      </c>
      <c r="J12" s="4">
        <f t="shared" si="6"/>
        <v>-0.10690509363761347</v>
      </c>
      <c r="K12" s="4">
        <f t="shared" si="7"/>
        <v>-0.2315770339544817</v>
      </c>
      <c r="L12" s="4">
        <f t="shared" si="8"/>
        <v>7.1954199181672722</v>
      </c>
      <c r="M12" s="4">
        <f t="shared" si="9"/>
        <v>3.0884904701823963</v>
      </c>
      <c r="N12" s="4">
        <f t="shared" si="10"/>
        <v>-0.12146522857844211</v>
      </c>
      <c r="O12">
        <f t="shared" si="11"/>
        <v>-0.2738336652959335</v>
      </c>
    </row>
    <row r="13" spans="1:15" x14ac:dyDescent="0.35">
      <c r="A13" t="s">
        <v>65</v>
      </c>
      <c r="B13">
        <v>546707688.38166368</v>
      </c>
      <c r="C13">
        <v>246298</v>
      </c>
      <c r="D13" s="4">
        <f t="shared" si="0"/>
        <v>546707688.38166368</v>
      </c>
      <c r="E13" s="4">
        <f t="shared" si="1"/>
        <v>246298</v>
      </c>
      <c r="F13" s="4">
        <f t="shared" si="2"/>
        <v>8.737755181442779</v>
      </c>
      <c r="G13" s="4">
        <f t="shared" si="3"/>
        <v>5.3914608852760075</v>
      </c>
      <c r="H13" s="4" t="str">
        <f t="shared" si="4"/>
        <v/>
      </c>
      <c r="I13" s="4" t="str">
        <f t="shared" si="5"/>
        <v/>
      </c>
      <c r="J13" s="4" t="str">
        <f t="shared" si="6"/>
        <v/>
      </c>
      <c r="K13" s="4" t="str">
        <f t="shared" si="7"/>
        <v/>
      </c>
      <c r="L13" s="4" t="str">
        <f t="shared" si="8"/>
        <v/>
      </c>
      <c r="M13" s="4" t="str">
        <f t="shared" si="9"/>
        <v/>
      </c>
      <c r="N13" s="4" t="str">
        <f t="shared" si="10"/>
        <v/>
      </c>
      <c r="O13">
        <f t="shared" si="11"/>
        <v>4.0067764811134916</v>
      </c>
    </row>
    <row r="14" spans="1:15" x14ac:dyDescent="0.35">
      <c r="A14" t="s">
        <v>13</v>
      </c>
      <c r="B14">
        <v>20668002.56657714</v>
      </c>
      <c r="C14">
        <v>1166</v>
      </c>
      <c r="D14" s="4">
        <f t="shared" si="0"/>
        <v>20668002.56657714</v>
      </c>
      <c r="E14" s="4">
        <f t="shared" si="1"/>
        <v>1166</v>
      </c>
      <c r="F14" s="4">
        <f t="shared" si="2"/>
        <v>7.3152985068048331</v>
      </c>
      <c r="G14" s="4">
        <f t="shared" si="3"/>
        <v>3.0666985504229953</v>
      </c>
      <c r="H14" s="4">
        <f t="shared" si="4"/>
        <v>7.3152985068048331</v>
      </c>
      <c r="I14" s="4">
        <f t="shared" si="5"/>
        <v>3.0666985504229953</v>
      </c>
      <c r="J14" s="4">
        <f t="shared" si="6"/>
        <v>-0.16107311107868361</v>
      </c>
      <c r="K14" s="4">
        <f t="shared" si="7"/>
        <v>-0.34891539817424</v>
      </c>
      <c r="L14" s="4">
        <f t="shared" si="8"/>
        <v>7.3152985068048331</v>
      </c>
      <c r="M14" s="4">
        <f t="shared" si="9"/>
        <v>3.0666985504229953</v>
      </c>
      <c r="N14" s="4">
        <f t="shared" si="10"/>
        <v>-0.17467430527511452</v>
      </c>
      <c r="O14">
        <f t="shared" si="11"/>
        <v>-0.39378928279557607</v>
      </c>
    </row>
    <row r="15" spans="1:15" x14ac:dyDescent="0.35">
      <c r="A15" t="s">
        <v>41</v>
      </c>
      <c r="B15">
        <v>4784504.7014914099</v>
      </c>
      <c r="C15">
        <v>530</v>
      </c>
      <c r="D15" s="4">
        <f t="shared" si="0"/>
        <v>4784504.7014914099</v>
      </c>
      <c r="E15" s="4">
        <f t="shared" si="1"/>
        <v>530</v>
      </c>
      <c r="F15" s="4">
        <f t="shared" si="2"/>
        <v>6.6798369856775865</v>
      </c>
      <c r="G15" s="4">
        <f t="shared" si="3"/>
        <v>2.7242758696007892</v>
      </c>
      <c r="H15" s="4">
        <f t="shared" si="4"/>
        <v>6.6798369856775865</v>
      </c>
      <c r="I15" s="4">
        <f t="shared" si="5"/>
        <v>2.7242758696007892</v>
      </c>
      <c r="J15" s="4">
        <f t="shared" si="6"/>
        <v>-0.33187411604715944</v>
      </c>
      <c r="K15" s="4">
        <f t="shared" si="7"/>
        <v>-0.71890328912659207</v>
      </c>
      <c r="L15" s="4">
        <f t="shared" si="8"/>
        <v>6.6798369856775865</v>
      </c>
      <c r="M15" s="4">
        <f t="shared" si="9"/>
        <v>2.7242758696007892</v>
      </c>
      <c r="N15" s="4">
        <f t="shared" si="10"/>
        <v>-0.35055853612263821</v>
      </c>
      <c r="O15">
        <f t="shared" si="11"/>
        <v>-0.79030624624598345</v>
      </c>
    </row>
    <row r="16" spans="1:15" x14ac:dyDescent="0.35">
      <c r="A16" t="s">
        <v>31</v>
      </c>
      <c r="B16">
        <v>11530182.147759859</v>
      </c>
      <c r="C16">
        <v>3952</v>
      </c>
      <c r="D16" s="4">
        <f t="shared" si="0"/>
        <v>11530182.147759859</v>
      </c>
      <c r="E16" s="4">
        <f t="shared" si="1"/>
        <v>3952</v>
      </c>
      <c r="F16" s="4">
        <f t="shared" si="2"/>
        <v>7.0618361681049473</v>
      </c>
      <c r="G16" s="4">
        <f t="shared" si="3"/>
        <v>3.5968169359155904</v>
      </c>
      <c r="H16" s="4">
        <f t="shared" si="4"/>
        <v>7.0618361681049473</v>
      </c>
      <c r="I16" s="4">
        <f t="shared" si="5"/>
        <v>3.5968169359155904</v>
      </c>
      <c r="J16" s="4">
        <f t="shared" si="6"/>
        <v>0.43749887842807089</v>
      </c>
      <c r="K16" s="4">
        <f t="shared" si="7"/>
        <v>0.94770687885295002</v>
      </c>
      <c r="L16" s="4">
        <f t="shared" si="8"/>
        <v>7.0618361681049473</v>
      </c>
      <c r="M16" s="4">
        <f t="shared" si="9"/>
        <v>3.5968169359155904</v>
      </c>
      <c r="N16" s="4">
        <f t="shared" si="10"/>
        <v>0.42187017150804129</v>
      </c>
      <c r="O16">
        <f t="shared" si="11"/>
        <v>0.95107263778346995</v>
      </c>
    </row>
    <row r="17" spans="1:15" x14ac:dyDescent="0.35">
      <c r="A17" t="s">
        <v>49</v>
      </c>
      <c r="B17">
        <v>1505473.7792995581</v>
      </c>
      <c r="C17">
        <v>368</v>
      </c>
      <c r="D17" s="4">
        <f t="shared" si="0"/>
        <v>1505473.7792995581</v>
      </c>
      <c r="E17" s="4">
        <f t="shared" si="1"/>
        <v>368</v>
      </c>
      <c r="F17" s="4">
        <f t="shared" si="2"/>
        <v>6.1776731958469977</v>
      </c>
      <c r="G17" s="4">
        <f t="shared" si="3"/>
        <v>2.5658478186735176</v>
      </c>
      <c r="H17" s="4">
        <f t="shared" si="4"/>
        <v>6.1776731958469977</v>
      </c>
      <c r="I17" s="4">
        <f t="shared" si="5"/>
        <v>2.5658478186735176</v>
      </c>
      <c r="J17" s="4">
        <f t="shared" si="6"/>
        <v>-0.35468075120261888</v>
      </c>
      <c r="K17" s="4">
        <f t="shared" si="7"/>
        <v>-0.76830685582367109</v>
      </c>
      <c r="L17" s="4">
        <f t="shared" si="8"/>
        <v>6.1776731958469977</v>
      </c>
      <c r="M17" s="4">
        <f t="shared" si="9"/>
        <v>2.5658478186735176</v>
      </c>
      <c r="N17" s="4">
        <f t="shared" si="10"/>
        <v>-0.37738211311819514</v>
      </c>
      <c r="O17">
        <f t="shared" si="11"/>
        <v>-0.85077786014738499</v>
      </c>
    </row>
    <row r="18" spans="1:15" x14ac:dyDescent="0.35">
      <c r="A18" t="s">
        <v>66</v>
      </c>
      <c r="B18">
        <v>59479775.693213642</v>
      </c>
      <c r="C18">
        <v>14342</v>
      </c>
      <c r="D18" s="4">
        <f t="shared" si="0"/>
        <v>59479775.693213642</v>
      </c>
      <c r="E18" s="4">
        <f t="shared" si="1"/>
        <v>14342</v>
      </c>
      <c r="F18" s="4">
        <f t="shared" si="2"/>
        <v>7.774369322066069</v>
      </c>
      <c r="G18" s="4">
        <f t="shared" si="3"/>
        <v>4.1566097181656989</v>
      </c>
      <c r="H18" s="4">
        <f t="shared" si="4"/>
        <v>7.774369322066069</v>
      </c>
      <c r="I18" s="4">
        <f t="shared" si="5"/>
        <v>4.1566097181656989</v>
      </c>
      <c r="J18" s="4">
        <f t="shared" si="6"/>
        <v>0.80485493568619493</v>
      </c>
      <c r="K18" s="4">
        <f t="shared" si="7"/>
        <v>1.7434708901864351</v>
      </c>
      <c r="L18" s="4">
        <f t="shared" si="8"/>
        <v>7.774369322066069</v>
      </c>
      <c r="M18" s="4">
        <f t="shared" si="9"/>
        <v>4.1566097181656989</v>
      </c>
      <c r="N18" s="4">
        <f t="shared" si="10"/>
        <v>0.79492597115413943</v>
      </c>
      <c r="O18">
        <f t="shared" si="11"/>
        <v>1.7920971694338981</v>
      </c>
    </row>
    <row r="19" spans="1:15" x14ac:dyDescent="0.35">
      <c r="A19" t="s">
        <v>63</v>
      </c>
      <c r="B19">
        <v>24418.249536983705</v>
      </c>
      <c r="C19">
        <v>1400</v>
      </c>
      <c r="D19" s="4">
        <f t="shared" si="0"/>
        <v>24418.249536983705</v>
      </c>
      <c r="E19" s="4">
        <f t="shared" si="1"/>
        <v>1400</v>
      </c>
      <c r="F19" s="4">
        <f t="shared" si="2"/>
        <v>4.3877145275991669</v>
      </c>
      <c r="G19" s="4">
        <f t="shared" si="3"/>
        <v>3.1461280356782382</v>
      </c>
      <c r="H19" s="4">
        <f t="shared" si="4"/>
        <v>4.3877145275991669</v>
      </c>
      <c r="I19" s="4">
        <f t="shared" si="5"/>
        <v>3.1461280356782382</v>
      </c>
      <c r="J19" s="4">
        <f t="shared" si="6"/>
        <v>0.70902087864968077</v>
      </c>
      <c r="K19" s="4">
        <f t="shared" si="7"/>
        <v>1.5358758549529388</v>
      </c>
      <c r="L19" s="4">
        <f t="shared" si="8"/>
        <v>4.3877145275991669</v>
      </c>
      <c r="M19" s="4">
        <f t="shared" si="9"/>
        <v>3.1461280356782382</v>
      </c>
      <c r="N19" s="4">
        <f t="shared" si="10"/>
        <v>0.67200116082684946</v>
      </c>
      <c r="O19">
        <f t="shared" si="11"/>
        <v>1.5149729935551113</v>
      </c>
    </row>
    <row r="20" spans="1:15" x14ac:dyDescent="0.35">
      <c r="A20" t="s">
        <v>59</v>
      </c>
      <c r="B20">
        <v>409447.92840371898</v>
      </c>
      <c r="C20">
        <v>1737</v>
      </c>
      <c r="D20" s="4">
        <f t="shared" si="0"/>
        <v>409447.92840371898</v>
      </c>
      <c r="E20" s="4">
        <f t="shared" si="1"/>
        <v>1737</v>
      </c>
      <c r="F20" s="4">
        <f t="shared" si="2"/>
        <v>5.6121986781480544</v>
      </c>
      <c r="G20" s="4">
        <f t="shared" si="3"/>
        <v>3.2397998184470986</v>
      </c>
      <c r="H20" s="4">
        <f t="shared" si="4"/>
        <v>5.6121986781480544</v>
      </c>
      <c r="I20" s="4">
        <f t="shared" si="5"/>
        <v>3.2397998184470986</v>
      </c>
      <c r="J20" s="4">
        <f t="shared" si="6"/>
        <v>0.47199124994558472</v>
      </c>
      <c r="K20" s="4">
        <f t="shared" si="7"/>
        <v>1.0224240024088993</v>
      </c>
      <c r="L20" s="4">
        <f t="shared" si="8"/>
        <v>5.6121986781480544</v>
      </c>
      <c r="M20" s="4">
        <f t="shared" si="9"/>
        <v>3.2397998184470986</v>
      </c>
      <c r="N20" s="4">
        <f t="shared" si="10"/>
        <v>0.44476650682321095</v>
      </c>
      <c r="O20">
        <f t="shared" si="11"/>
        <v>1.0026905986976802</v>
      </c>
    </row>
    <row r="21" spans="1:15" x14ac:dyDescent="0.35">
      <c r="A21" t="s">
        <v>28</v>
      </c>
      <c r="B21">
        <v>10502488.244403571</v>
      </c>
      <c r="C21">
        <v>334</v>
      </c>
      <c r="D21" s="4">
        <f t="shared" si="0"/>
        <v>10502488.244403571</v>
      </c>
      <c r="E21" s="4">
        <f t="shared" si="1"/>
        <v>334</v>
      </c>
      <c r="F21" s="4">
        <f t="shared" si="2"/>
        <v>7.0212922040978167</v>
      </c>
      <c r="G21" s="4">
        <f t="shared" si="3"/>
        <v>2.5237464668115646</v>
      </c>
      <c r="H21" s="4">
        <f t="shared" si="4"/>
        <v>7.0212922040978167</v>
      </c>
      <c r="I21" s="4">
        <f t="shared" si="5"/>
        <v>2.5237464668115646</v>
      </c>
      <c r="J21" s="4">
        <f t="shared" si="6"/>
        <v>-0.6246217175249984</v>
      </c>
      <c r="K21" s="4">
        <f t="shared" si="7"/>
        <v>-1.3530510078249469</v>
      </c>
      <c r="L21" s="4">
        <f t="shared" si="8"/>
        <v>7.0212922040978167</v>
      </c>
      <c r="M21" s="4">
        <f t="shared" si="9"/>
        <v>2.5237464668115646</v>
      </c>
      <c r="N21" s="4">
        <f t="shared" si="10"/>
        <v>-0.64057474640667067</v>
      </c>
      <c r="O21">
        <f t="shared" si="11"/>
        <v>-1.4441246499715066</v>
      </c>
    </row>
    <row r="22" spans="1:15" x14ac:dyDescent="0.35">
      <c r="A22" t="s">
        <v>42</v>
      </c>
      <c r="B22">
        <v>2596597.3081082189</v>
      </c>
      <c r="C22">
        <v>386</v>
      </c>
      <c r="D22" s="4">
        <f t="shared" si="0"/>
        <v>2596597.3081082189</v>
      </c>
      <c r="E22" s="4">
        <f t="shared" si="1"/>
        <v>386</v>
      </c>
      <c r="F22" s="4">
        <f t="shared" si="2"/>
        <v>6.4144046025261359</v>
      </c>
      <c r="G22" s="4">
        <f t="shared" si="3"/>
        <v>2.5865873046717551</v>
      </c>
      <c r="H22" s="4">
        <f t="shared" si="4"/>
        <v>6.4144046025261359</v>
      </c>
      <c r="I22" s="4">
        <f t="shared" si="5"/>
        <v>2.5865873046717551</v>
      </c>
      <c r="J22" s="4">
        <f t="shared" si="6"/>
        <v>-0.39787627840457374</v>
      </c>
      <c r="K22" s="4">
        <f t="shared" si="7"/>
        <v>-0.86187669173286807</v>
      </c>
      <c r="L22" s="4">
        <f t="shared" si="8"/>
        <v>6.4144046025261359</v>
      </c>
      <c r="M22" s="4">
        <f t="shared" si="9"/>
        <v>2.5865873046717551</v>
      </c>
      <c r="N22" s="4">
        <f t="shared" si="10"/>
        <v>-0.41868396277586672</v>
      </c>
      <c r="O22">
        <f t="shared" si="11"/>
        <v>-0.9438895844459807</v>
      </c>
    </row>
    <row r="23" spans="1:15" x14ac:dyDescent="0.35">
      <c r="A23" t="s">
        <v>55</v>
      </c>
      <c r="B23">
        <v>848515.81000657892</v>
      </c>
      <c r="C23">
        <v>323</v>
      </c>
      <c r="D23" s="4">
        <f t="shared" si="0"/>
        <v>848515.81000657892</v>
      </c>
      <c r="E23" s="4">
        <f t="shared" si="1"/>
        <v>323</v>
      </c>
      <c r="F23" s="4">
        <f t="shared" si="2"/>
        <v>5.9286599387393144</v>
      </c>
      <c r="G23" s="4">
        <f t="shared" si="3"/>
        <v>2.509202522331103</v>
      </c>
      <c r="H23" s="4">
        <f t="shared" si="4"/>
        <v>5.9286599387393144</v>
      </c>
      <c r="I23" s="4">
        <f t="shared" si="5"/>
        <v>2.509202522331103</v>
      </c>
      <c r="J23" s="4">
        <f t="shared" si="6"/>
        <v>-0.34407402507983864</v>
      </c>
      <c r="K23" s="4">
        <f t="shared" si="7"/>
        <v>-0.74533064307362906</v>
      </c>
      <c r="L23" s="4">
        <f t="shared" si="8"/>
        <v>5.9286599387393144</v>
      </c>
      <c r="M23" s="4">
        <f t="shared" si="9"/>
        <v>2.509202522331103</v>
      </c>
      <c r="N23" s="4">
        <f t="shared" si="10"/>
        <v>-0.36876731033093124</v>
      </c>
      <c r="O23">
        <f t="shared" si="11"/>
        <v>-0.83135647469702423</v>
      </c>
    </row>
    <row r="24" spans="1:15" x14ac:dyDescent="0.35">
      <c r="A24" t="s">
        <v>60</v>
      </c>
      <c r="B24">
        <v>307174.31973911042</v>
      </c>
      <c r="C24">
        <v>1760</v>
      </c>
      <c r="D24" s="4">
        <f t="shared" si="0"/>
        <v>307174.31973911042</v>
      </c>
      <c r="E24" s="4">
        <f t="shared" si="1"/>
        <v>1760</v>
      </c>
      <c r="F24" s="4">
        <f t="shared" si="2"/>
        <v>5.4873849051687813</v>
      </c>
      <c r="G24" s="4">
        <f t="shared" si="3"/>
        <v>3.2455126678141499</v>
      </c>
      <c r="H24" s="4">
        <f t="shared" si="4"/>
        <v>5.4873849051687813</v>
      </c>
      <c r="I24" s="4">
        <f t="shared" si="5"/>
        <v>3.2455126678141499</v>
      </c>
      <c r="J24" s="4">
        <f t="shared" si="6"/>
        <v>0.51141306228860328</v>
      </c>
      <c r="K24" s="4">
        <f t="shared" si="7"/>
        <v>1.1078192447202948</v>
      </c>
      <c r="L24" s="4">
        <f t="shared" si="8"/>
        <v>5.4873849051687813</v>
      </c>
      <c r="M24" s="4">
        <f t="shared" si="9"/>
        <v>3.2455126678141499</v>
      </c>
      <c r="N24" s="4">
        <f t="shared" si="10"/>
        <v>0.48318990056844457</v>
      </c>
      <c r="O24">
        <f t="shared" si="11"/>
        <v>1.0893130738331986</v>
      </c>
    </row>
    <row r="25" spans="1:15" x14ac:dyDescent="0.35">
      <c r="A25" t="s">
        <v>64</v>
      </c>
      <c r="B25">
        <v>1.1391704898123431</v>
      </c>
      <c r="C25">
        <v>52</v>
      </c>
      <c r="D25" s="4">
        <f t="shared" si="0"/>
        <v>1.1391704898123431</v>
      </c>
      <c r="E25" s="4">
        <f t="shared" si="1"/>
        <v>52</v>
      </c>
      <c r="F25" s="4">
        <f t="shared" si="2"/>
        <v>5.6588726049050096E-2</v>
      </c>
      <c r="G25" s="4">
        <f t="shared" si="3"/>
        <v>1.7160033436347992</v>
      </c>
      <c r="H25" s="4" t="str">
        <f t="shared" si="4"/>
        <v/>
      </c>
      <c r="I25" s="4" t="str">
        <f t="shared" si="5"/>
        <v/>
      </c>
      <c r="J25" s="4" t="str">
        <f t="shared" si="6"/>
        <v/>
      </c>
      <c r="K25" s="4" t="str">
        <f t="shared" si="7"/>
        <v/>
      </c>
      <c r="L25" s="4" t="str">
        <f t="shared" si="8"/>
        <v/>
      </c>
      <c r="M25" s="4" t="str">
        <f t="shared" si="9"/>
        <v/>
      </c>
      <c r="N25" s="4" t="str">
        <f t="shared" si="10"/>
        <v/>
      </c>
      <c r="O25">
        <f t="shared" si="11"/>
        <v>0.84981584607618177</v>
      </c>
    </row>
    <row r="26" spans="1:15" x14ac:dyDescent="0.35">
      <c r="A26" t="s">
        <v>23</v>
      </c>
      <c r="B26">
        <v>10818081.113343861</v>
      </c>
      <c r="C26">
        <v>449</v>
      </c>
      <c r="D26" s="4">
        <f t="shared" si="0"/>
        <v>10818081.113343861</v>
      </c>
      <c r="E26" s="4">
        <f t="shared" si="1"/>
        <v>449</v>
      </c>
      <c r="F26" s="4">
        <f t="shared" si="2"/>
        <v>7.0341502334330546</v>
      </c>
      <c r="G26" s="4">
        <f t="shared" si="3"/>
        <v>2.6522463410033232</v>
      </c>
      <c r="H26" s="4">
        <f t="shared" si="4"/>
        <v>7.0341502334330546</v>
      </c>
      <c r="I26" s="4">
        <f t="shared" si="5"/>
        <v>2.6522463410033232</v>
      </c>
      <c r="J26" s="4">
        <f t="shared" si="6"/>
        <v>-0.49959446357746096</v>
      </c>
      <c r="K26" s="4">
        <f t="shared" si="7"/>
        <v>-1.0822178824100741</v>
      </c>
      <c r="L26" s="4">
        <f t="shared" si="8"/>
        <v>7.0341502334330546</v>
      </c>
      <c r="M26" s="4">
        <f t="shared" si="9"/>
        <v>2.6522463410033232</v>
      </c>
      <c r="N26" s="4">
        <f t="shared" si="10"/>
        <v>-0.51544463765943638</v>
      </c>
      <c r="O26">
        <f t="shared" si="11"/>
        <v>-1.1620288047806691</v>
      </c>
    </row>
    <row r="27" spans="1:15" x14ac:dyDescent="0.35">
      <c r="A27" t="s">
        <v>29</v>
      </c>
      <c r="B27">
        <v>9906820.4819531199</v>
      </c>
      <c r="C27">
        <v>704</v>
      </c>
      <c r="D27" s="4">
        <f t="shared" si="0"/>
        <v>9906820.4819531199</v>
      </c>
      <c r="E27" s="4">
        <f t="shared" si="1"/>
        <v>704</v>
      </c>
      <c r="F27" s="4">
        <f t="shared" si="2"/>
        <v>6.995934293364658</v>
      </c>
      <c r="G27" s="4">
        <f t="shared" si="3"/>
        <v>2.847572659142112</v>
      </c>
      <c r="H27" s="4">
        <f t="shared" si="4"/>
        <v>6.995934293364658</v>
      </c>
      <c r="I27" s="4">
        <f t="shared" si="5"/>
        <v>2.847572659142112</v>
      </c>
      <c r="J27" s="4">
        <f t="shared" si="6"/>
        <v>-0.29394701117513744</v>
      </c>
      <c r="K27" s="4">
        <f t="shared" si="7"/>
        <v>-0.63674587123482951</v>
      </c>
      <c r="L27" s="4">
        <f t="shared" si="8"/>
        <v>6.995934293364658</v>
      </c>
      <c r="M27" s="4">
        <f t="shared" si="9"/>
        <v>2.847572659142112</v>
      </c>
      <c r="N27" s="4">
        <f t="shared" si="10"/>
        <v>-0.31010288473550718</v>
      </c>
      <c r="O27">
        <f t="shared" si="11"/>
        <v>-0.69910220842442394</v>
      </c>
    </row>
    <row r="28" spans="1:15" x14ac:dyDescent="0.35">
      <c r="A28" t="s">
        <v>4</v>
      </c>
      <c r="B28">
        <v>83597829.105290413</v>
      </c>
      <c r="C28">
        <v>8399</v>
      </c>
      <c r="D28" s="4">
        <f t="shared" si="0"/>
        <v>83597829.105290413</v>
      </c>
      <c r="E28" s="4">
        <f t="shared" si="1"/>
        <v>8399</v>
      </c>
      <c r="F28" s="4">
        <f t="shared" si="2"/>
        <v>7.9221949996897987</v>
      </c>
      <c r="G28" s="4">
        <f t="shared" si="3"/>
        <v>3.9242275812601175</v>
      </c>
      <c r="H28" s="4">
        <f t="shared" si="4"/>
        <v>7.9221949996897987</v>
      </c>
      <c r="I28" s="4">
        <f t="shared" si="5"/>
        <v>3.9242275812601175</v>
      </c>
      <c r="J28" s="4">
        <f t="shared" si="6"/>
        <v>0.53254891718508635</v>
      </c>
      <c r="K28" s="4">
        <f t="shared" si="7"/>
        <v>1.1536035794088877</v>
      </c>
      <c r="L28" s="4">
        <f t="shared" si="8"/>
        <v>7.9221949996897987</v>
      </c>
      <c r="M28" s="4">
        <f t="shared" si="9"/>
        <v>3.9242275812601175</v>
      </c>
      <c r="N28" s="4">
        <f t="shared" si="10"/>
        <v>0.52380244960225841</v>
      </c>
      <c r="O28">
        <f t="shared" si="11"/>
        <v>1.1808708248792774</v>
      </c>
    </row>
    <row r="29" spans="1:15" x14ac:dyDescent="0.35">
      <c r="A29" t="s">
        <v>6</v>
      </c>
      <c r="B29">
        <v>58485233.774274707</v>
      </c>
      <c r="C29">
        <v>8141</v>
      </c>
      <c r="D29" s="4">
        <f t="shared" si="0"/>
        <v>58485233.774274707</v>
      </c>
      <c r="E29" s="4">
        <f t="shared" si="1"/>
        <v>8141</v>
      </c>
      <c r="F29" s="4">
        <f t="shared" si="2"/>
        <v>7.7670462301874919</v>
      </c>
      <c r="G29" s="4">
        <f t="shared" si="3"/>
        <v>3.9106777547427054</v>
      </c>
      <c r="H29" s="4">
        <f t="shared" si="4"/>
        <v>7.7670462301874919</v>
      </c>
      <c r="I29" s="4">
        <f t="shared" si="5"/>
        <v>3.9106777547427054</v>
      </c>
      <c r="J29" s="4">
        <f t="shared" si="6"/>
        <v>0.56090074945166624</v>
      </c>
      <c r="K29" s="4">
        <f t="shared" si="7"/>
        <v>1.21501911163531</v>
      </c>
      <c r="L29" s="4">
        <f t="shared" si="8"/>
        <v>7.7670462301874919</v>
      </c>
      <c r="M29" s="4">
        <f t="shared" si="9"/>
        <v>3.9106777547427054</v>
      </c>
      <c r="N29" s="4">
        <f t="shared" si="10"/>
        <v>0.55091320555813095</v>
      </c>
      <c r="O29">
        <f t="shared" si="11"/>
        <v>1.2419898608307542</v>
      </c>
    </row>
    <row r="30" spans="1:15" x14ac:dyDescent="0.35">
      <c r="A30" t="s">
        <v>52</v>
      </c>
      <c r="B30">
        <v>1368514.187346485</v>
      </c>
      <c r="C30">
        <v>993</v>
      </c>
      <c r="D30" s="4">
        <f t="shared" si="0"/>
        <v>1368514.187346485</v>
      </c>
      <c r="E30" s="4">
        <f t="shared" si="1"/>
        <v>993</v>
      </c>
      <c r="F30" s="4">
        <f t="shared" si="2"/>
        <v>6.1362493040876505</v>
      </c>
      <c r="G30" s="4">
        <f t="shared" si="3"/>
        <v>2.996949248495381</v>
      </c>
      <c r="H30" s="4">
        <f t="shared" si="4"/>
        <v>6.1362493040876505</v>
      </c>
      <c r="I30" s="4">
        <f t="shared" si="5"/>
        <v>2.996949248495381</v>
      </c>
      <c r="J30" s="4">
        <f t="shared" si="6"/>
        <v>8.7608197434721813E-2</v>
      </c>
      <c r="K30" s="4">
        <f t="shared" si="7"/>
        <v>0.18977623817255951</v>
      </c>
      <c r="L30" s="4">
        <f t="shared" si="8"/>
        <v>6.1362493040876505</v>
      </c>
      <c r="M30" s="4">
        <f t="shared" si="9"/>
        <v>2.996949248495381</v>
      </c>
      <c r="N30" s="4">
        <f t="shared" si="10"/>
        <v>6.457547478115977E-2</v>
      </c>
      <c r="O30">
        <f t="shared" si="11"/>
        <v>0.14558025497914803</v>
      </c>
    </row>
    <row r="31" spans="1:15" x14ac:dyDescent="0.35">
      <c r="A31" t="s">
        <v>2</v>
      </c>
      <c r="B31">
        <v>185463801.58661953</v>
      </c>
      <c r="C31">
        <v>41436</v>
      </c>
      <c r="D31" s="4">
        <f t="shared" si="0"/>
        <v>185463801.58661953</v>
      </c>
      <c r="E31" s="4">
        <f t="shared" si="1"/>
        <v>41436</v>
      </c>
      <c r="F31" s="4">
        <f t="shared" si="2"/>
        <v>8.2682591575884903</v>
      </c>
      <c r="G31" s="4">
        <f t="shared" si="3"/>
        <v>4.6173778243970789</v>
      </c>
      <c r="H31" s="4" t="str">
        <f t="shared" si="4"/>
        <v/>
      </c>
      <c r="I31" s="4" t="str">
        <f t="shared" si="5"/>
        <v/>
      </c>
      <c r="J31" s="4" t="str">
        <f t="shared" si="6"/>
        <v/>
      </c>
      <c r="K31" s="4" t="str">
        <f t="shared" si="7"/>
        <v/>
      </c>
      <c r="L31" s="4" t="str">
        <f t="shared" si="8"/>
        <v/>
      </c>
      <c r="M31" s="4" t="str">
        <f t="shared" si="9"/>
        <v/>
      </c>
      <c r="N31" s="4" t="str">
        <f t="shared" si="10"/>
        <v/>
      </c>
      <c r="O31">
        <f t="shared" si="11"/>
        <v>2.5390587855410414</v>
      </c>
    </row>
    <row r="32" spans="1:15" x14ac:dyDescent="0.35">
      <c r="A32" t="s">
        <v>47</v>
      </c>
      <c r="B32">
        <v>1987447.7972280618</v>
      </c>
      <c r="C32">
        <v>200</v>
      </c>
      <c r="D32" s="4">
        <f t="shared" si="0"/>
        <v>1987447.7972280618</v>
      </c>
      <c r="E32" s="4">
        <f t="shared" si="1"/>
        <v>200</v>
      </c>
      <c r="F32" s="4">
        <f t="shared" si="2"/>
        <v>6.2982957301971689</v>
      </c>
      <c r="G32" s="4">
        <f t="shared" si="3"/>
        <v>2.3010299956639813</v>
      </c>
      <c r="H32" s="4">
        <f t="shared" si="4"/>
        <v>6.2982957301971689</v>
      </c>
      <c r="I32" s="4">
        <f t="shared" si="5"/>
        <v>2.3010299956639813</v>
      </c>
      <c r="J32" s="4">
        <f t="shared" si="6"/>
        <v>-0.65207559233620849</v>
      </c>
      <c r="K32" s="4">
        <f t="shared" si="7"/>
        <v>-1.4125213911622363</v>
      </c>
      <c r="L32" s="4">
        <f t="shared" si="8"/>
        <v>6.2982957301971689</v>
      </c>
      <c r="M32" s="4">
        <f t="shared" si="9"/>
        <v>2.3010299956639813</v>
      </c>
      <c r="N32" s="4">
        <f t="shared" si="10"/>
        <v>-0.67381206248757941</v>
      </c>
      <c r="O32">
        <f t="shared" si="11"/>
        <v>-1.5190555268451049</v>
      </c>
    </row>
    <row r="33" spans="1:15" x14ac:dyDescent="0.35">
      <c r="A33" t="s">
        <v>10</v>
      </c>
      <c r="B33">
        <v>16560315.058002152</v>
      </c>
      <c r="C33">
        <v>12901</v>
      </c>
      <c r="D33" s="4">
        <f t="shared" si="0"/>
        <v>16560315.058002152</v>
      </c>
      <c r="E33" s="4">
        <f t="shared" si="1"/>
        <v>12901</v>
      </c>
      <c r="F33" s="4">
        <f t="shared" si="2"/>
        <v>7.21906859492774</v>
      </c>
      <c r="G33" s="4">
        <f t="shared" si="3"/>
        <v>4.110623375233331</v>
      </c>
      <c r="H33" s="4">
        <f t="shared" si="4"/>
        <v>7.21906859492774</v>
      </c>
      <c r="I33" s="4">
        <f t="shared" si="5"/>
        <v>4.110623375233331</v>
      </c>
      <c r="J33" s="4">
        <f t="shared" si="6"/>
        <v>0.90884091716022031</v>
      </c>
      <c r="K33" s="4">
        <f t="shared" si="7"/>
        <v>1.9687245646673663</v>
      </c>
      <c r="L33" s="4">
        <f t="shared" si="8"/>
        <v>7.21906859492774</v>
      </c>
      <c r="M33" s="4">
        <f t="shared" si="9"/>
        <v>4.110623375233331</v>
      </c>
      <c r="N33" s="4">
        <f t="shared" si="10"/>
        <v>0.89446995428051146</v>
      </c>
      <c r="O33">
        <f t="shared" si="11"/>
        <v>2.016511136102948</v>
      </c>
    </row>
    <row r="34" spans="1:15" x14ac:dyDescent="0.35">
      <c r="A34" t="s">
        <v>12</v>
      </c>
      <c r="B34">
        <v>42416783.107527316</v>
      </c>
      <c r="C34">
        <v>2854</v>
      </c>
      <c r="D34" s="4">
        <f t="shared" ref="D34:D65" si="12">IF(OR(B34=0,C34=0),"",B34)</f>
        <v>42416783.107527316</v>
      </c>
      <c r="E34" s="4">
        <f t="shared" ref="E34:E68" si="13">IF(OR(B34=0,C34=0),"",C34)</f>
        <v>2854</v>
      </c>
      <c r="F34" s="4">
        <f t="shared" ref="F34:F68" si="14">IF(D34="","",LOG10(D34))</f>
        <v>7.6275377284986545</v>
      </c>
      <c r="G34" s="4">
        <f t="shared" ref="G34:G68" si="15">IF(E34="","",LOG10(E34))</f>
        <v>3.4554539687786283</v>
      </c>
      <c r="H34" s="4">
        <f t="shared" ref="H34:H65" si="16">IF(OR(F34="",G34=""),"",IF(OR(ABS(F34-AVERAGE(F$2:F$68))&gt;_xlfn.STDEV.S(F$2:F$68)*2,ABS(G34-AVERAGE(G$2:G$68))&gt;_xlfn.STDEV.S(G$2:G$68)*2),"",F34))</f>
        <v>7.6275377284986545</v>
      </c>
      <c r="I34" s="4">
        <f t="shared" ref="I34:I68" si="17">IF(OR(F34="",G34=""),"",IF(OR(ABS(F34-AVERAGE(F$2:F$68))&gt;_xlfn.STDEV.S(F$2:F$68)*2,ABS(G34-AVERAGE(G$2:G$68))&gt;_xlfn.STDEV.S(G$2:G$68)*2),"",G34))</f>
        <v>3.4554539687786283</v>
      </c>
      <c r="J34" s="4">
        <f t="shared" ref="J34:J65" si="18">IF(OR(H34="",I34=""),"", (I34-(SLOPE(I$2:I$68,H$2:H$68)*H34+INTERCEPT(I$2:I$68,H$2:H$68))))</f>
        <v>0.14335459157309316</v>
      </c>
      <c r="K34" s="4">
        <f t="shared" ref="K34:K65" si="19">IF(J34="","", J34/_xlfn.STDEV.S(J$2:J$68))</f>
        <v>0.31053367047959629</v>
      </c>
      <c r="L34" s="4">
        <f t="shared" ref="L34:L65" si="20">IF(OR(K34&lt;-2,K34&gt;2),"",H34)</f>
        <v>7.6275377284986545</v>
      </c>
      <c r="M34" s="4">
        <f t="shared" ref="M34:M68" si="21">IF(OR(K34&lt;-2,K34&gt;2),"",I34)</f>
        <v>3.4554539687786283</v>
      </c>
      <c r="N34" s="4">
        <f t="shared" ref="N34:N65" si="22">IF(OR(M34="",L34=""),"", (M34-(SLOPE(M$2:M$68,L$2:L$68)*L34+INTERCEPT(M$2:M$68,L$2:L$68))))</f>
        <v>0.13225108203481906</v>
      </c>
      <c r="O34">
        <f t="shared" ref="O34:O65" si="23">IF(AND(C34=0,B34=0),0,IF(AND(B34&gt;0,C34=0),-4.9,IF(AND(B34=0,C34&gt;0),4.9,(G34-(SLOPE(M$2:M$68,L$2:L$68)*F34+INTERCEPT(M$2:M$68,L$2:L$68)))/_xlfn.STDEV.S(N$2:N$68))))</f>
        <v>0.29814951123695627</v>
      </c>
    </row>
    <row r="35" spans="1:15" x14ac:dyDescent="0.35">
      <c r="A35" t="s">
        <v>44</v>
      </c>
      <c r="B35">
        <v>3105866.2563764201</v>
      </c>
      <c r="C35">
        <v>1800</v>
      </c>
      <c r="D35" s="4">
        <f t="shared" si="12"/>
        <v>3105866.2563764201</v>
      </c>
      <c r="E35" s="4">
        <f t="shared" si="13"/>
        <v>1800</v>
      </c>
      <c r="F35" s="4">
        <f t="shared" si="14"/>
        <v>6.4921827503724847</v>
      </c>
      <c r="G35" s="4">
        <f t="shared" si="15"/>
        <v>3.255272505103306</v>
      </c>
      <c r="H35" s="4">
        <f t="shared" si="16"/>
        <v>6.4921827503724847</v>
      </c>
      <c r="I35" s="4">
        <f t="shared" si="17"/>
        <v>3.255272505103306</v>
      </c>
      <c r="J35" s="4">
        <f t="shared" si="18"/>
        <v>0.24980306150766385</v>
      </c>
      <c r="K35" s="4">
        <f t="shared" si="19"/>
        <v>0.54112156949966217</v>
      </c>
      <c r="L35" s="4">
        <f t="shared" si="20"/>
        <v>6.4921827503724847</v>
      </c>
      <c r="M35" s="4">
        <f t="shared" si="21"/>
        <v>3.255272505103306</v>
      </c>
      <c r="N35" s="4">
        <f t="shared" si="22"/>
        <v>0.2296175452469682</v>
      </c>
      <c r="O35">
        <f t="shared" si="23"/>
        <v>0.51765443301846881</v>
      </c>
    </row>
    <row r="36" spans="1:15" x14ac:dyDescent="0.35">
      <c r="A36" t="s">
        <v>36</v>
      </c>
      <c r="B36">
        <v>2823137.5803891267</v>
      </c>
      <c r="C36">
        <v>735</v>
      </c>
      <c r="D36" s="4">
        <f t="shared" si="12"/>
        <v>2823137.5803891267</v>
      </c>
      <c r="E36" s="4">
        <f t="shared" si="13"/>
        <v>735</v>
      </c>
      <c r="F36" s="4">
        <f t="shared" si="14"/>
        <v>6.4507320432010742</v>
      </c>
      <c r="G36" s="4">
        <f t="shared" si="15"/>
        <v>2.8662873390841948</v>
      </c>
      <c r="H36" s="4">
        <f t="shared" si="16"/>
        <v>6.4507320432010742</v>
      </c>
      <c r="I36" s="4">
        <f t="shared" si="17"/>
        <v>2.8662873390841948</v>
      </c>
      <c r="J36" s="4">
        <f t="shared" si="18"/>
        <v>-0.1279873435486425</v>
      </c>
      <c r="K36" s="4">
        <f t="shared" si="19"/>
        <v>-0.27724524991463778</v>
      </c>
      <c r="L36" s="4">
        <f t="shared" si="20"/>
        <v>6.4507320432010742</v>
      </c>
      <c r="M36" s="4">
        <f t="shared" si="21"/>
        <v>2.8662873390841948</v>
      </c>
      <c r="N36" s="4">
        <f t="shared" si="22"/>
        <v>-0.14850443505094324</v>
      </c>
      <c r="O36">
        <f t="shared" si="23"/>
        <v>-0.33479139864656782</v>
      </c>
    </row>
    <row r="37" spans="1:15" x14ac:dyDescent="0.35">
      <c r="A37" t="s">
        <v>45</v>
      </c>
      <c r="B37">
        <v>4410027.1250472683</v>
      </c>
      <c r="C37">
        <v>4454</v>
      </c>
      <c r="D37" s="4">
        <f t="shared" si="12"/>
        <v>4410027.1250472683</v>
      </c>
      <c r="E37" s="4">
        <f t="shared" si="13"/>
        <v>4454</v>
      </c>
      <c r="F37" s="4">
        <f t="shared" si="14"/>
        <v>6.6444412607200203</v>
      </c>
      <c r="G37" s="4">
        <f t="shared" si="15"/>
        <v>3.6487502126980194</v>
      </c>
      <c r="H37" s="4">
        <f t="shared" si="16"/>
        <v>6.6444412607200203</v>
      </c>
      <c r="I37" s="4">
        <f t="shared" si="17"/>
        <v>3.6487502126980194</v>
      </c>
      <c r="J37" s="4">
        <f t="shared" si="18"/>
        <v>0.60215969435581629</v>
      </c>
      <c r="K37" s="4">
        <f t="shared" si="19"/>
        <v>1.3043939370985631</v>
      </c>
      <c r="L37" s="4">
        <f t="shared" si="20"/>
        <v>6.6444412607200203</v>
      </c>
      <c r="M37" s="4">
        <f t="shared" si="21"/>
        <v>3.6487502126980194</v>
      </c>
      <c r="N37" s="4">
        <f t="shared" si="22"/>
        <v>0.58319213445340834</v>
      </c>
      <c r="O37">
        <f t="shared" si="23"/>
        <v>1.3147601302705583</v>
      </c>
    </row>
    <row r="38" spans="1:15" x14ac:dyDescent="0.35">
      <c r="A38" t="s">
        <v>61</v>
      </c>
      <c r="B38">
        <v>82567.672642001606</v>
      </c>
      <c r="C38">
        <v>1143</v>
      </c>
      <c r="D38" s="4">
        <f t="shared" si="12"/>
        <v>82567.672642001606</v>
      </c>
      <c r="E38" s="4">
        <f t="shared" si="13"/>
        <v>1143</v>
      </c>
      <c r="F38" s="4">
        <f t="shared" si="14"/>
        <v>4.916810043188848</v>
      </c>
      <c r="G38" s="4">
        <f t="shared" si="15"/>
        <v>3.0580462303952816</v>
      </c>
      <c r="H38" s="4">
        <f t="shared" si="16"/>
        <v>4.916810043188848</v>
      </c>
      <c r="I38" s="4">
        <f t="shared" si="17"/>
        <v>3.0580462303952816</v>
      </c>
      <c r="J38" s="4">
        <f t="shared" si="18"/>
        <v>0.47804409695475014</v>
      </c>
      <c r="K38" s="4">
        <f t="shared" si="19"/>
        <v>1.035535635444031</v>
      </c>
      <c r="L38" s="4">
        <f t="shared" si="20"/>
        <v>4.916810043188848</v>
      </c>
      <c r="M38" s="4">
        <f t="shared" si="21"/>
        <v>3.0580462303952816</v>
      </c>
      <c r="N38" s="4">
        <f t="shared" si="22"/>
        <v>0.44525675501608486</v>
      </c>
      <c r="O38">
        <f t="shared" si="23"/>
        <v>1.0037958241282869</v>
      </c>
    </row>
    <row r="39" spans="1:15" x14ac:dyDescent="0.35">
      <c r="A39" t="s">
        <v>35</v>
      </c>
      <c r="B39">
        <v>5839018.5135754393</v>
      </c>
      <c r="C39">
        <v>399</v>
      </c>
      <c r="D39" s="4">
        <f t="shared" si="12"/>
        <v>5839018.5135754393</v>
      </c>
      <c r="E39" s="4">
        <f t="shared" si="13"/>
        <v>399</v>
      </c>
      <c r="F39" s="4">
        <f t="shared" si="14"/>
        <v>6.7663398522560669</v>
      </c>
      <c r="G39" s="4">
        <f t="shared" si="15"/>
        <v>2.6009728956867484</v>
      </c>
      <c r="H39" s="4">
        <f t="shared" si="16"/>
        <v>6.7663398522560669</v>
      </c>
      <c r="I39" s="4">
        <f t="shared" si="17"/>
        <v>2.6009728956867484</v>
      </c>
      <c r="J39" s="4">
        <f t="shared" si="18"/>
        <v>-0.47853927073025027</v>
      </c>
      <c r="K39" s="4">
        <f t="shared" si="19"/>
        <v>-1.0366082772641774</v>
      </c>
      <c r="L39" s="4">
        <f t="shared" si="20"/>
        <v>6.7663398522560669</v>
      </c>
      <c r="M39" s="4">
        <f t="shared" si="21"/>
        <v>2.6009728956867484</v>
      </c>
      <c r="N39" s="4">
        <f t="shared" si="22"/>
        <v>-0.49653173134731343</v>
      </c>
      <c r="O39">
        <f t="shared" si="23"/>
        <v>-1.1193911666890184</v>
      </c>
    </row>
    <row r="40" spans="1:15" x14ac:dyDescent="0.35">
      <c r="A40" t="s">
        <v>1</v>
      </c>
      <c r="B40">
        <v>214783176.08818269</v>
      </c>
      <c r="C40">
        <v>10478</v>
      </c>
      <c r="D40" s="4">
        <f t="shared" si="12"/>
        <v>214783176.08818269</v>
      </c>
      <c r="E40" s="4">
        <f t="shared" si="13"/>
        <v>10478</v>
      </c>
      <c r="F40" s="4">
        <f t="shared" si="14"/>
        <v>8.3320002601829266</v>
      </c>
      <c r="G40" s="4">
        <f t="shared" si="15"/>
        <v>4.0202783941119273</v>
      </c>
      <c r="H40" s="4">
        <f t="shared" si="16"/>
        <v>8.3320002601829266</v>
      </c>
      <c r="I40" s="4">
        <f t="shared" si="17"/>
        <v>4.0202783941119273</v>
      </c>
      <c r="J40" s="4">
        <f t="shared" si="18"/>
        <v>0.51792195767588201</v>
      </c>
      <c r="K40" s="4">
        <f t="shared" si="19"/>
        <v>1.1219187664251771</v>
      </c>
      <c r="L40" s="4">
        <f t="shared" si="20"/>
        <v>8.3320002601829266</v>
      </c>
      <c r="M40" s="4">
        <f t="shared" si="21"/>
        <v>4.0202783941119273</v>
      </c>
      <c r="N40" s="4">
        <f t="shared" si="22"/>
        <v>0.51245363146944101</v>
      </c>
      <c r="O40">
        <f t="shared" si="23"/>
        <v>1.1552858199979883</v>
      </c>
    </row>
    <row r="41" spans="1:15" x14ac:dyDescent="0.35">
      <c r="A41" t="s">
        <v>14</v>
      </c>
      <c r="B41">
        <v>37326501.649649411</v>
      </c>
      <c r="C41">
        <v>1446</v>
      </c>
      <c r="D41" s="4">
        <f t="shared" si="12"/>
        <v>37326501.649649411</v>
      </c>
      <c r="E41" s="4">
        <f t="shared" si="13"/>
        <v>1446</v>
      </c>
      <c r="F41" s="4">
        <f t="shared" si="14"/>
        <v>7.5720172884677428</v>
      </c>
      <c r="G41" s="4">
        <f t="shared" si="15"/>
        <v>3.1601682929585122</v>
      </c>
      <c r="H41" s="4">
        <f t="shared" si="16"/>
        <v>7.5720172884677428</v>
      </c>
      <c r="I41" s="4">
        <f t="shared" si="17"/>
        <v>3.1601682929585122</v>
      </c>
      <c r="J41" s="4">
        <f t="shared" si="18"/>
        <v>-0.13693645334421234</v>
      </c>
      <c r="K41" s="4">
        <f t="shared" si="19"/>
        <v>-0.29663074626915298</v>
      </c>
      <c r="L41" s="4">
        <f t="shared" si="20"/>
        <v>7.5720172884677428</v>
      </c>
      <c r="M41" s="4">
        <f t="shared" si="21"/>
        <v>3.1601682929585122</v>
      </c>
      <c r="N41" s="4">
        <f t="shared" si="22"/>
        <v>-0.14848408566285665</v>
      </c>
      <c r="O41">
        <f t="shared" si="23"/>
        <v>-0.33474552257494222</v>
      </c>
    </row>
    <row r="42" spans="1:15" x14ac:dyDescent="0.35">
      <c r="A42" t="s">
        <v>26</v>
      </c>
      <c r="B42">
        <v>12756749.78427314</v>
      </c>
      <c r="C42">
        <v>1430</v>
      </c>
      <c r="D42" s="4">
        <f t="shared" si="12"/>
        <v>12756749.78427314</v>
      </c>
      <c r="E42" s="4">
        <f t="shared" si="13"/>
        <v>1430</v>
      </c>
      <c r="F42" s="4">
        <f t="shared" si="14"/>
        <v>7.1057400371939075</v>
      </c>
      <c r="G42" s="4">
        <f t="shared" si="15"/>
        <v>3.1553360374650619</v>
      </c>
      <c r="H42" s="4">
        <f t="shared" si="16"/>
        <v>7.1057400371939075</v>
      </c>
      <c r="I42" s="4">
        <f t="shared" si="17"/>
        <v>3.1553360374650619</v>
      </c>
      <c r="J42" s="4">
        <f t="shared" si="18"/>
        <v>-1.5839316395247938E-2</v>
      </c>
      <c r="K42" s="4">
        <f t="shared" si="19"/>
        <v>-3.4311011625993787E-2</v>
      </c>
      <c r="L42" s="4">
        <f t="shared" si="20"/>
        <v>7.1057400371939075</v>
      </c>
      <c r="M42" s="4">
        <f t="shared" si="21"/>
        <v>3.1553360374650619</v>
      </c>
      <c r="N42" s="4">
        <f t="shared" si="22"/>
        <v>-3.1116824578417468E-2</v>
      </c>
      <c r="O42">
        <f t="shared" si="23"/>
        <v>-7.0150397989626329E-2</v>
      </c>
    </row>
    <row r="43" spans="1:15" x14ac:dyDescent="0.35">
      <c r="A43" t="s">
        <v>30</v>
      </c>
      <c r="B43">
        <v>10080411.879175279</v>
      </c>
      <c r="C43">
        <v>952</v>
      </c>
      <c r="D43" s="4">
        <f t="shared" si="12"/>
        <v>10080411.879175279</v>
      </c>
      <c r="E43" s="4">
        <f t="shared" si="13"/>
        <v>952</v>
      </c>
      <c r="F43" s="4">
        <f t="shared" si="14"/>
        <v>7.0034782774665096</v>
      </c>
      <c r="G43" s="4">
        <f t="shared" si="15"/>
        <v>2.9786369483844743</v>
      </c>
      <c r="H43" s="4">
        <f t="shared" si="16"/>
        <v>7.0034782774665096</v>
      </c>
      <c r="I43" s="4">
        <f t="shared" si="17"/>
        <v>2.9786369483844743</v>
      </c>
      <c r="J43" s="4">
        <f t="shared" si="18"/>
        <v>-0.16492015638179902</v>
      </c>
      <c r="K43" s="4">
        <f t="shared" si="19"/>
        <v>-0.35724883964526954</v>
      </c>
      <c r="L43" s="4">
        <f t="shared" si="20"/>
        <v>7.0034782774665096</v>
      </c>
      <c r="M43" s="4">
        <f t="shared" si="21"/>
        <v>2.9786369483844743</v>
      </c>
      <c r="N43" s="4">
        <f t="shared" si="22"/>
        <v>-0.18101568360499032</v>
      </c>
      <c r="O43">
        <f t="shared" si="23"/>
        <v>-0.40808541421870737</v>
      </c>
    </row>
    <row r="44" spans="1:15" x14ac:dyDescent="0.35">
      <c r="A44" t="s">
        <v>34</v>
      </c>
      <c r="B44">
        <v>7474017.3836968504</v>
      </c>
      <c r="C44">
        <v>1318</v>
      </c>
      <c r="D44" s="4">
        <f t="shared" si="12"/>
        <v>7474017.3836968504</v>
      </c>
      <c r="E44" s="4">
        <f t="shared" si="13"/>
        <v>1318</v>
      </c>
      <c r="F44" s="4">
        <f t="shared" si="14"/>
        <v>6.8735541036333458</v>
      </c>
      <c r="G44" s="4">
        <f t="shared" si="15"/>
        <v>3.1199154102579909</v>
      </c>
      <c r="H44" s="4">
        <f t="shared" si="16"/>
        <v>6.8735541036333458</v>
      </c>
      <c r="I44" s="4">
        <f t="shared" si="17"/>
        <v>3.1199154102579909</v>
      </c>
      <c r="J44" s="4">
        <f t="shared" si="18"/>
        <v>1.1447455197595602E-2</v>
      </c>
      <c r="K44" s="4">
        <f t="shared" si="19"/>
        <v>2.4797393938704608E-2</v>
      </c>
      <c r="L44" s="4">
        <f t="shared" si="20"/>
        <v>6.8735541036333458</v>
      </c>
      <c r="M44" s="4">
        <f t="shared" si="21"/>
        <v>3.1199154102579909</v>
      </c>
      <c r="N44" s="4">
        <f t="shared" si="22"/>
        <v>-5.687370080293519E-3</v>
      </c>
      <c r="O44">
        <f t="shared" si="23"/>
        <v>-1.2821722012200712E-2</v>
      </c>
    </row>
    <row r="45" spans="1:15" x14ac:dyDescent="0.35">
      <c r="A45" t="s">
        <v>17</v>
      </c>
      <c r="B45">
        <v>21251382.13155137</v>
      </c>
      <c r="C45">
        <v>1216</v>
      </c>
      <c r="D45" s="4">
        <f t="shared" si="12"/>
        <v>21251382.13155137</v>
      </c>
      <c r="E45" s="4">
        <f t="shared" si="13"/>
        <v>1216</v>
      </c>
      <c r="F45" s="4">
        <f t="shared" si="14"/>
        <v>7.3273871806256823</v>
      </c>
      <c r="G45" s="4">
        <f t="shared" si="15"/>
        <v>3.0849335749367159</v>
      </c>
      <c r="H45" s="4">
        <f t="shared" si="16"/>
        <v>7.3273871806256823</v>
      </c>
      <c r="I45" s="4">
        <f t="shared" si="17"/>
        <v>3.0849335749367159</v>
      </c>
      <c r="J45" s="4">
        <f t="shared" si="18"/>
        <v>-0.14610292383835644</v>
      </c>
      <c r="K45" s="4">
        <f t="shared" si="19"/>
        <v>-0.31648708778325174</v>
      </c>
      <c r="L45" s="4">
        <f t="shared" si="20"/>
        <v>7.3273871806256823</v>
      </c>
      <c r="M45" s="4">
        <f t="shared" si="21"/>
        <v>3.0849335749367159</v>
      </c>
      <c r="N45" s="4">
        <f t="shared" si="22"/>
        <v>-0.15960741751466623</v>
      </c>
      <c r="O45">
        <f t="shared" si="23"/>
        <v>-0.35982218662877846</v>
      </c>
    </row>
    <row r="46" spans="1:15" x14ac:dyDescent="0.35">
      <c r="A46" t="s">
        <v>40</v>
      </c>
      <c r="B46">
        <v>3557584.3326611151</v>
      </c>
      <c r="C46">
        <v>289</v>
      </c>
      <c r="D46" s="4">
        <f t="shared" si="12"/>
        <v>3557584.3326611151</v>
      </c>
      <c r="E46" s="4">
        <f t="shared" si="13"/>
        <v>289</v>
      </c>
      <c r="F46" s="4">
        <f t="shared" si="14"/>
        <v>6.551155203844238</v>
      </c>
      <c r="G46" s="4">
        <f t="shared" si="15"/>
        <v>2.4608978427565478</v>
      </c>
      <c r="H46" s="4">
        <f t="shared" si="16"/>
        <v>6.551155203844238</v>
      </c>
      <c r="I46" s="4">
        <f t="shared" si="17"/>
        <v>2.4608978427565478</v>
      </c>
      <c r="J46" s="4">
        <f t="shared" si="18"/>
        <v>-0.56049853104263336</v>
      </c>
      <c r="K46" s="4">
        <f t="shared" si="19"/>
        <v>-1.2141478290518863</v>
      </c>
      <c r="L46" s="4">
        <f t="shared" si="20"/>
        <v>6.551155203844238</v>
      </c>
      <c r="M46" s="4">
        <f t="shared" si="21"/>
        <v>2.4608978427565478</v>
      </c>
      <c r="N46" s="4">
        <f t="shared" si="22"/>
        <v>-0.58021231094845627</v>
      </c>
      <c r="O46">
        <f t="shared" si="23"/>
        <v>-1.3080423559589656</v>
      </c>
    </row>
    <row r="47" spans="1:15" x14ac:dyDescent="0.35">
      <c r="A47" t="s">
        <v>24</v>
      </c>
      <c r="B47">
        <v>28643504.593025811</v>
      </c>
      <c r="C47">
        <v>4555</v>
      </c>
      <c r="D47" s="4">
        <f t="shared" si="12"/>
        <v>28643504.593025811</v>
      </c>
      <c r="E47" s="4">
        <f t="shared" si="13"/>
        <v>4555</v>
      </c>
      <c r="F47" s="4">
        <f t="shared" si="14"/>
        <v>7.4570261537299913</v>
      </c>
      <c r="G47" s="4">
        <f t="shared" si="15"/>
        <v>3.658488381309017</v>
      </c>
      <c r="H47" s="4">
        <f t="shared" si="16"/>
        <v>7.4570261537299913</v>
      </c>
      <c r="I47" s="4">
        <f t="shared" si="17"/>
        <v>3.658488381309017</v>
      </c>
      <c r="J47" s="4">
        <f t="shared" si="18"/>
        <v>0.39243975814811138</v>
      </c>
      <c r="K47" s="4">
        <f t="shared" si="19"/>
        <v>0.85010014121327671</v>
      </c>
      <c r="L47" s="4">
        <f t="shared" si="20"/>
        <v>7.4570261537299913</v>
      </c>
      <c r="M47" s="4">
        <f t="shared" si="21"/>
        <v>3.658488381309017</v>
      </c>
      <c r="N47" s="4">
        <f t="shared" si="22"/>
        <v>0.3799722811299433</v>
      </c>
      <c r="O47">
        <f t="shared" si="23"/>
        <v>0.85661718724280334</v>
      </c>
    </row>
    <row r="48" spans="1:15" x14ac:dyDescent="0.35">
      <c r="A48" t="s">
        <v>37</v>
      </c>
      <c r="B48">
        <v>3512580.2880954463</v>
      </c>
      <c r="C48">
        <v>85</v>
      </c>
      <c r="D48" s="4">
        <f t="shared" si="12"/>
        <v>3512580.2880954463</v>
      </c>
      <c r="E48" s="4">
        <f t="shared" si="13"/>
        <v>85</v>
      </c>
      <c r="F48" s="4">
        <f t="shared" si="14"/>
        <v>6.5456262598251103</v>
      </c>
      <c r="G48" s="4">
        <f t="shared" si="15"/>
        <v>1.9294189257142926</v>
      </c>
      <c r="H48" s="4">
        <f t="shared" si="16"/>
        <v>6.5456262598251103</v>
      </c>
      <c r="I48" s="4">
        <f t="shared" si="17"/>
        <v>1.9294189257142926</v>
      </c>
      <c r="J48" s="4">
        <f t="shared" si="18"/>
        <v>-1.0904842237011667</v>
      </c>
      <c r="K48" s="4">
        <f t="shared" si="19"/>
        <v>-2.3621989701903332</v>
      </c>
      <c r="L48" s="4" t="str">
        <f t="shared" si="20"/>
        <v/>
      </c>
      <c r="M48" s="4" t="str">
        <f t="shared" si="21"/>
        <v/>
      </c>
      <c r="N48" s="4" t="str">
        <f t="shared" si="22"/>
        <v/>
      </c>
      <c r="O48">
        <f t="shared" si="23"/>
        <v>-2.5029525162642532</v>
      </c>
    </row>
    <row r="49" spans="1:15" x14ac:dyDescent="0.35">
      <c r="A49" t="s">
        <v>7</v>
      </c>
      <c r="B49">
        <v>31648826.858134232</v>
      </c>
      <c r="C49">
        <v>916</v>
      </c>
      <c r="D49" s="4">
        <f t="shared" si="12"/>
        <v>31648826.858134232</v>
      </c>
      <c r="E49" s="4">
        <f t="shared" si="13"/>
        <v>916</v>
      </c>
      <c r="F49" s="4">
        <f t="shared" si="14"/>
        <v>7.5003576164550667</v>
      </c>
      <c r="G49" s="4">
        <f t="shared" si="15"/>
        <v>2.9618954736678504</v>
      </c>
      <c r="H49" s="4">
        <f t="shared" si="16"/>
        <v>7.5003576164550667</v>
      </c>
      <c r="I49" s="4">
        <f t="shared" si="17"/>
        <v>2.9618954736678504</v>
      </c>
      <c r="J49" s="4">
        <f t="shared" si="18"/>
        <v>-0.31585585375259795</v>
      </c>
      <c r="K49" s="4">
        <f t="shared" si="19"/>
        <v>-0.68420464619893351</v>
      </c>
      <c r="L49" s="4">
        <f t="shared" si="20"/>
        <v>7.5003576164550667</v>
      </c>
      <c r="M49" s="4">
        <f t="shared" si="21"/>
        <v>2.9618954736678504</v>
      </c>
      <c r="N49" s="4">
        <f t="shared" si="22"/>
        <v>-0.32797671086479463</v>
      </c>
      <c r="O49">
        <f t="shared" si="23"/>
        <v>-0.73939732315912499</v>
      </c>
    </row>
    <row r="50" spans="1:15" x14ac:dyDescent="0.35">
      <c r="A50" t="s">
        <v>48</v>
      </c>
      <c r="B50">
        <v>3752477.96118967</v>
      </c>
      <c r="C50">
        <v>1073</v>
      </c>
      <c r="D50" s="4">
        <f t="shared" si="12"/>
        <v>3752477.96118967</v>
      </c>
      <c r="E50" s="4">
        <f t="shared" si="13"/>
        <v>1073</v>
      </c>
      <c r="F50" s="4">
        <f t="shared" si="14"/>
        <v>6.5743181502525978</v>
      </c>
      <c r="G50" s="4">
        <f t="shared" si="15"/>
        <v>3.0305997219659511</v>
      </c>
      <c r="H50" s="4">
        <f t="shared" si="16"/>
        <v>6.5743181502525978</v>
      </c>
      <c r="I50" s="4">
        <f t="shared" si="17"/>
        <v>3.0305997219659511</v>
      </c>
      <c r="J50" s="4">
        <f t="shared" si="18"/>
        <v>2.9476370841208244E-3</v>
      </c>
      <c r="K50" s="4">
        <f t="shared" si="19"/>
        <v>6.3851499483161198E-3</v>
      </c>
      <c r="L50" s="4">
        <f t="shared" si="20"/>
        <v>6.5743181502525978</v>
      </c>
      <c r="M50" s="4">
        <f t="shared" si="21"/>
        <v>3.0305997219659511</v>
      </c>
      <c r="N50" s="4">
        <f t="shared" si="22"/>
        <v>-1.6580856246978914E-2</v>
      </c>
      <c r="O50">
        <f t="shared" si="23"/>
        <v>-3.7380217309870123E-2</v>
      </c>
    </row>
    <row r="51" spans="1:15" x14ac:dyDescent="0.35">
      <c r="A51" t="s">
        <v>5</v>
      </c>
      <c r="B51">
        <v>62320129.205408394</v>
      </c>
      <c r="C51">
        <v>1334</v>
      </c>
      <c r="D51" s="4">
        <f t="shared" si="12"/>
        <v>62320129.205408394</v>
      </c>
      <c r="E51" s="4">
        <f t="shared" si="13"/>
        <v>1334</v>
      </c>
      <c r="F51" s="4">
        <f t="shared" si="14"/>
        <v>7.7946283450678733</v>
      </c>
      <c r="G51" s="4">
        <f t="shared" si="15"/>
        <v>3.12515582958053</v>
      </c>
      <c r="H51" s="4">
        <f t="shared" si="16"/>
        <v>7.7946283450678733</v>
      </c>
      <c r="I51" s="4">
        <f t="shared" si="17"/>
        <v>3.12515582958053</v>
      </c>
      <c r="J51" s="4">
        <f t="shared" si="18"/>
        <v>-0.23207038958417403</v>
      </c>
      <c r="K51" s="4">
        <f t="shared" si="19"/>
        <v>-0.50270918494060812</v>
      </c>
      <c r="L51" s="4">
        <f t="shared" si="20"/>
        <v>7.7946283450678733</v>
      </c>
      <c r="M51" s="4">
        <f t="shared" si="21"/>
        <v>3.12515582958053</v>
      </c>
      <c r="N51" s="4">
        <f t="shared" si="22"/>
        <v>-0.24183729679791366</v>
      </c>
      <c r="O51">
        <f t="shared" si="23"/>
        <v>-0.54520288779324499</v>
      </c>
    </row>
    <row r="52" spans="1:15" x14ac:dyDescent="0.35">
      <c r="A52" t="s">
        <v>16</v>
      </c>
      <c r="B52">
        <v>9626792.4777928293</v>
      </c>
      <c r="C52">
        <v>2531</v>
      </c>
      <c r="D52" s="4">
        <f t="shared" si="12"/>
        <v>9626792.4777928293</v>
      </c>
      <c r="E52" s="4">
        <f t="shared" si="13"/>
        <v>2531</v>
      </c>
      <c r="F52" s="4">
        <f t="shared" si="14"/>
        <v>6.9834816099453372</v>
      </c>
      <c r="G52" s="4">
        <f t="shared" si="15"/>
        <v>3.4032921451582543</v>
      </c>
      <c r="H52" s="4">
        <f t="shared" si="16"/>
        <v>6.9834816099453372</v>
      </c>
      <c r="I52" s="4">
        <f t="shared" si="17"/>
        <v>3.4032921451582543</v>
      </c>
      <c r="J52" s="4">
        <f t="shared" si="18"/>
        <v>0.26513562166617932</v>
      </c>
      <c r="K52" s="4">
        <f t="shared" si="19"/>
        <v>0.57433484946248337</v>
      </c>
      <c r="L52" s="4">
        <f t="shared" si="20"/>
        <v>6.9834816099453372</v>
      </c>
      <c r="M52" s="4">
        <f t="shared" si="21"/>
        <v>3.4032921451582543</v>
      </c>
      <c r="N52" s="4">
        <f t="shared" si="22"/>
        <v>0.24888013577600532</v>
      </c>
      <c r="O52">
        <f t="shared" si="23"/>
        <v>0.56108040627347766</v>
      </c>
    </row>
    <row r="53" spans="1:15" x14ac:dyDescent="0.35">
      <c r="A53" t="s">
        <v>25</v>
      </c>
      <c r="B53">
        <v>9834777.8791325912</v>
      </c>
      <c r="C53">
        <v>373</v>
      </c>
      <c r="D53" s="4">
        <f t="shared" si="12"/>
        <v>9834777.8791325912</v>
      </c>
      <c r="E53" s="4">
        <f t="shared" si="13"/>
        <v>373</v>
      </c>
      <c r="F53" s="4">
        <f t="shared" si="14"/>
        <v>6.9927645557188658</v>
      </c>
      <c r="G53" s="4">
        <f t="shared" si="15"/>
        <v>2.5717088318086878</v>
      </c>
      <c r="H53" s="4">
        <f t="shared" si="16"/>
        <v>6.9927645557188658</v>
      </c>
      <c r="I53" s="4">
        <f t="shared" si="17"/>
        <v>2.5717088318086878</v>
      </c>
      <c r="J53" s="4">
        <f t="shared" si="18"/>
        <v>-0.56895477457911658</v>
      </c>
      <c r="K53" s="4">
        <f t="shared" si="19"/>
        <v>-1.2324656821114766</v>
      </c>
      <c r="L53" s="4">
        <f t="shared" si="20"/>
        <v>6.9927645557188658</v>
      </c>
      <c r="M53" s="4">
        <f t="shared" si="21"/>
        <v>2.5717088318086878</v>
      </c>
      <c r="N53" s="4">
        <f t="shared" si="22"/>
        <v>-0.58513600371475682</v>
      </c>
      <c r="O53">
        <f t="shared" si="23"/>
        <v>-1.31914242840576</v>
      </c>
    </row>
    <row r="54" spans="1:15" x14ac:dyDescent="0.35">
      <c r="A54" t="s">
        <v>8</v>
      </c>
      <c r="B54">
        <v>30366288.651412159</v>
      </c>
      <c r="C54">
        <v>12669</v>
      </c>
      <c r="D54" s="4">
        <f t="shared" si="12"/>
        <v>30366288.651412159</v>
      </c>
      <c r="E54" s="4">
        <f t="shared" si="13"/>
        <v>12669</v>
      </c>
      <c r="F54" s="4">
        <f t="shared" si="14"/>
        <v>7.4823917159648303</v>
      </c>
      <c r="G54" s="4">
        <f t="shared" si="15"/>
        <v>4.1027423361445701</v>
      </c>
      <c r="H54" s="4">
        <f t="shared" si="16"/>
        <v>7.4823917159648303</v>
      </c>
      <c r="I54" s="4">
        <f t="shared" si="17"/>
        <v>4.1027423361445701</v>
      </c>
      <c r="J54" s="4">
        <f t="shared" si="18"/>
        <v>0.82984313249219266</v>
      </c>
      <c r="K54" s="4">
        <f t="shared" si="19"/>
        <v>1.7976001398162003</v>
      </c>
      <c r="L54" s="4">
        <f t="shared" si="20"/>
        <v>7.4823917159648303</v>
      </c>
      <c r="M54" s="4">
        <f t="shared" si="21"/>
        <v>4.1027423361445701</v>
      </c>
      <c r="N54" s="4">
        <f t="shared" si="22"/>
        <v>0.81757856135912022</v>
      </c>
      <c r="O54">
        <f t="shared" si="23"/>
        <v>1.8431656264472625</v>
      </c>
    </row>
    <row r="55" spans="1:15" x14ac:dyDescent="0.35">
      <c r="A55" t="s">
        <v>3</v>
      </c>
      <c r="B55">
        <v>119115201.17803369</v>
      </c>
      <c r="C55">
        <v>2604</v>
      </c>
      <c r="D55" s="4">
        <f t="shared" si="12"/>
        <v>119115201.17803369</v>
      </c>
      <c r="E55" s="4">
        <f t="shared" si="13"/>
        <v>2604</v>
      </c>
      <c r="F55" s="4">
        <f t="shared" si="14"/>
        <v>8.0759671885731965</v>
      </c>
      <c r="G55" s="4">
        <f t="shared" si="15"/>
        <v>3.4156409798961542</v>
      </c>
      <c r="H55" s="4">
        <f t="shared" si="16"/>
        <v>8.0759671885731965</v>
      </c>
      <c r="I55" s="4">
        <f t="shared" si="17"/>
        <v>3.4156409798961542</v>
      </c>
      <c r="J55" s="4">
        <f t="shared" si="18"/>
        <v>-1.7567564239986844E-2</v>
      </c>
      <c r="K55" s="4">
        <f t="shared" si="19"/>
        <v>-3.8054729499526874E-2</v>
      </c>
      <c r="L55" s="4">
        <f t="shared" si="20"/>
        <v>8.0759671885731965</v>
      </c>
      <c r="M55" s="4">
        <f t="shared" si="21"/>
        <v>3.4156409798961542</v>
      </c>
      <c r="N55" s="4">
        <f t="shared" si="22"/>
        <v>-2.5083967146949604E-2</v>
      </c>
      <c r="O55">
        <f t="shared" si="23"/>
        <v>-5.6549802312981325E-2</v>
      </c>
    </row>
    <row r="56" spans="1:15" x14ac:dyDescent="0.35">
      <c r="A56" t="s">
        <v>19</v>
      </c>
      <c r="B56">
        <v>12654360.895944981</v>
      </c>
      <c r="C56">
        <v>536</v>
      </c>
      <c r="D56" s="4">
        <f t="shared" si="12"/>
        <v>12654360.895944981</v>
      </c>
      <c r="E56" s="4">
        <f t="shared" si="13"/>
        <v>536</v>
      </c>
      <c r="F56" s="4">
        <f t="shared" si="14"/>
        <v>7.1022402161577771</v>
      </c>
      <c r="G56" s="4">
        <f t="shared" si="15"/>
        <v>2.7291647896927702</v>
      </c>
      <c r="H56" s="4">
        <f t="shared" si="16"/>
        <v>7.1022402161577771</v>
      </c>
      <c r="I56" s="4">
        <f t="shared" si="17"/>
        <v>2.7291647896927702</v>
      </c>
      <c r="J56" s="4">
        <f t="shared" si="18"/>
        <v>-0.4410653532752371</v>
      </c>
      <c r="K56" s="4">
        <f t="shared" si="19"/>
        <v>-0.95543255064909194</v>
      </c>
      <c r="L56" s="4">
        <f t="shared" si="20"/>
        <v>7.1022402161577771</v>
      </c>
      <c r="M56" s="4">
        <f t="shared" si="21"/>
        <v>2.7291647896927702</v>
      </c>
      <c r="N56" s="4">
        <f t="shared" si="22"/>
        <v>-0.45637085745859096</v>
      </c>
      <c r="O56">
        <f t="shared" si="23"/>
        <v>-1.0288516812153257</v>
      </c>
    </row>
    <row r="57" spans="1:15" x14ac:dyDescent="0.35">
      <c r="A57" t="s">
        <v>33</v>
      </c>
      <c r="B57">
        <v>8447992.7996841408</v>
      </c>
      <c r="C57">
        <v>1958</v>
      </c>
      <c r="D57" s="4">
        <f t="shared" si="12"/>
        <v>8447992.7996841408</v>
      </c>
      <c r="E57" s="4">
        <f t="shared" si="13"/>
        <v>1958</v>
      </c>
      <c r="F57" s="4">
        <f t="shared" si="14"/>
        <v>6.9267535350359992</v>
      </c>
      <c r="G57" s="4">
        <f t="shared" si="15"/>
        <v>3.291812687467119</v>
      </c>
      <c r="H57" s="4">
        <f t="shared" si="16"/>
        <v>6.9267535350359992</v>
      </c>
      <c r="I57" s="4">
        <f t="shared" si="17"/>
        <v>3.291812687467119</v>
      </c>
      <c r="J57" s="4">
        <f t="shared" si="18"/>
        <v>0.16897694573792155</v>
      </c>
      <c r="K57" s="4">
        <f t="shared" si="19"/>
        <v>0.36603662715381935</v>
      </c>
      <c r="L57" s="4">
        <f t="shared" si="20"/>
        <v>6.9267535350359992</v>
      </c>
      <c r="M57" s="4">
        <f t="shared" si="21"/>
        <v>3.291812687467119</v>
      </c>
      <c r="N57" s="4">
        <f t="shared" si="22"/>
        <v>0.15226767687448994</v>
      </c>
      <c r="O57">
        <f t="shared" si="23"/>
        <v>0.34327532704317265</v>
      </c>
    </row>
    <row r="58" spans="1:15" x14ac:dyDescent="0.35">
      <c r="A58" t="s">
        <v>9</v>
      </c>
      <c r="B58">
        <v>38810798.302706957</v>
      </c>
      <c r="C58">
        <v>600</v>
      </c>
      <c r="D58" s="4">
        <f t="shared" si="12"/>
        <v>38810798.302706957</v>
      </c>
      <c r="E58" s="4">
        <f t="shared" si="13"/>
        <v>600</v>
      </c>
      <c r="F58" s="4">
        <f t="shared" si="14"/>
        <v>7.5889525758730958</v>
      </c>
      <c r="G58" s="4">
        <f t="shared" si="15"/>
        <v>2.7781512503836434</v>
      </c>
      <c r="H58" s="4">
        <f t="shared" si="16"/>
        <v>7.5889525758730958</v>
      </c>
      <c r="I58" s="4">
        <f t="shared" si="17"/>
        <v>2.7781512503836434</v>
      </c>
      <c r="J58" s="4">
        <f t="shared" si="18"/>
        <v>-0.52352727782237496</v>
      </c>
      <c r="K58" s="4">
        <f t="shared" si="19"/>
        <v>-1.1340609700351409</v>
      </c>
      <c r="L58" s="4">
        <f t="shared" si="20"/>
        <v>7.5889525758730958</v>
      </c>
      <c r="M58" s="4">
        <f t="shared" si="21"/>
        <v>2.7781512503836434</v>
      </c>
      <c r="N58" s="4">
        <f t="shared" si="22"/>
        <v>-0.53493944026857854</v>
      </c>
      <c r="O58">
        <f t="shared" si="23"/>
        <v>-1.2059782816404983</v>
      </c>
    </row>
    <row r="59" spans="1:15" x14ac:dyDescent="0.35">
      <c r="A59" t="s">
        <v>18</v>
      </c>
      <c r="B59">
        <v>26178641.644055407</v>
      </c>
      <c r="C59">
        <v>2377</v>
      </c>
      <c r="D59" s="4">
        <f t="shared" si="12"/>
        <v>26178641.644055407</v>
      </c>
      <c r="E59" s="4">
        <f t="shared" si="13"/>
        <v>2377</v>
      </c>
      <c r="F59" s="4">
        <f t="shared" si="14"/>
        <v>7.4179471081507202</v>
      </c>
      <c r="G59" s="4">
        <f t="shared" si="15"/>
        <v>3.3760291817281805</v>
      </c>
      <c r="H59" s="4">
        <f t="shared" si="16"/>
        <v>7.4179471081507202</v>
      </c>
      <c r="I59" s="4">
        <f t="shared" si="17"/>
        <v>3.3760291817281805</v>
      </c>
      <c r="J59" s="4">
        <f t="shared" si="18"/>
        <v>0.12053479524423549</v>
      </c>
      <c r="K59" s="4">
        <f t="shared" si="19"/>
        <v>0.26110159414471423</v>
      </c>
      <c r="L59" s="4">
        <f t="shared" si="20"/>
        <v>7.4179471081507202</v>
      </c>
      <c r="M59" s="4">
        <f t="shared" si="21"/>
        <v>3.3760291817281805</v>
      </c>
      <c r="N59" s="4">
        <f t="shared" si="22"/>
        <v>0.10775471453691798</v>
      </c>
      <c r="O59">
        <f t="shared" si="23"/>
        <v>0.24292440544419475</v>
      </c>
    </row>
    <row r="60" spans="1:15" x14ac:dyDescent="0.35">
      <c r="A60" t="s">
        <v>32</v>
      </c>
      <c r="B60">
        <v>5802265.9620666308</v>
      </c>
      <c r="C60">
        <v>745</v>
      </c>
      <c r="D60" s="4">
        <f t="shared" si="12"/>
        <v>5802265.9620666308</v>
      </c>
      <c r="E60" s="4">
        <f t="shared" si="13"/>
        <v>745</v>
      </c>
      <c r="F60" s="4">
        <f t="shared" si="14"/>
        <v>6.7635976319486577</v>
      </c>
      <c r="G60" s="4">
        <f t="shared" si="15"/>
        <v>2.8721562727482928</v>
      </c>
      <c r="H60" s="4">
        <f t="shared" si="16"/>
        <v>6.7635976319486577</v>
      </c>
      <c r="I60" s="4">
        <f t="shared" si="17"/>
        <v>2.8721562727482928</v>
      </c>
      <c r="J60" s="4">
        <f t="shared" si="18"/>
        <v>-0.20661529108448828</v>
      </c>
      <c r="K60" s="4">
        <f t="shared" si="19"/>
        <v>-0.44756853626807036</v>
      </c>
      <c r="L60" s="4">
        <f t="shared" si="20"/>
        <v>6.7635976319486577</v>
      </c>
      <c r="M60" s="4">
        <f t="shared" si="21"/>
        <v>2.8721562727482928</v>
      </c>
      <c r="N60" s="4">
        <f t="shared" si="22"/>
        <v>-0.22462968745181966</v>
      </c>
      <c r="O60">
        <f t="shared" si="23"/>
        <v>-0.50640970563429932</v>
      </c>
    </row>
    <row r="61" spans="1:15" x14ac:dyDescent="0.35">
      <c r="A61" t="s">
        <v>39</v>
      </c>
      <c r="B61">
        <v>4081123.3944224697</v>
      </c>
      <c r="C61">
        <v>868</v>
      </c>
      <c r="D61" s="4">
        <f t="shared" si="12"/>
        <v>4081123.3944224697</v>
      </c>
      <c r="E61" s="4">
        <f t="shared" si="13"/>
        <v>868</v>
      </c>
      <c r="F61" s="4">
        <f t="shared" si="14"/>
        <v>6.6107797260417387</v>
      </c>
      <c r="G61" s="4">
        <f t="shared" si="15"/>
        <v>2.9385197251764921</v>
      </c>
      <c r="H61" s="4">
        <f t="shared" si="16"/>
        <v>6.6107797260417387</v>
      </c>
      <c r="I61" s="4">
        <f t="shared" si="17"/>
        <v>2.9385197251764921</v>
      </c>
      <c r="J61" s="4">
        <f t="shared" si="18"/>
        <v>-9.8979685677333951E-2</v>
      </c>
      <c r="K61" s="4">
        <f t="shared" si="19"/>
        <v>-0.21440907304756543</v>
      </c>
      <c r="L61" s="4">
        <f t="shared" si="20"/>
        <v>6.6107797260417387</v>
      </c>
      <c r="M61" s="4">
        <f t="shared" si="21"/>
        <v>2.9385197251764921</v>
      </c>
      <c r="N61" s="4">
        <f t="shared" si="22"/>
        <v>-0.1182165131569537</v>
      </c>
      <c r="O61">
        <f t="shared" si="23"/>
        <v>-0.26650969561521881</v>
      </c>
    </row>
    <row r="62" spans="1:15" x14ac:dyDescent="0.35">
      <c r="A62" t="s">
        <v>53</v>
      </c>
      <c r="B62">
        <v>939429.17715751391</v>
      </c>
      <c r="C62">
        <v>500</v>
      </c>
      <c r="D62" s="4">
        <f t="shared" si="12"/>
        <v>939429.17715751391</v>
      </c>
      <c r="E62" s="4">
        <f t="shared" si="13"/>
        <v>500</v>
      </c>
      <c r="F62" s="4">
        <f t="shared" si="14"/>
        <v>5.9728640445439787</v>
      </c>
      <c r="G62" s="4">
        <f t="shared" si="15"/>
        <v>2.6989700043360187</v>
      </c>
      <c r="H62" s="4">
        <f t="shared" si="16"/>
        <v>5.9728640445439787</v>
      </c>
      <c r="I62" s="4">
        <f t="shared" si="17"/>
        <v>2.6989700043360187</v>
      </c>
      <c r="J62" s="4">
        <f t="shared" si="18"/>
        <v>-0.16624492559783999</v>
      </c>
      <c r="K62" s="4">
        <f t="shared" si="19"/>
        <v>-0.36011854505673402</v>
      </c>
      <c r="L62" s="4">
        <f t="shared" si="20"/>
        <v>5.9728640445439787</v>
      </c>
      <c r="M62" s="4">
        <f t="shared" si="21"/>
        <v>2.6989700043360187</v>
      </c>
      <c r="N62" s="4">
        <f t="shared" si="22"/>
        <v>-0.19058461043865504</v>
      </c>
      <c r="O62">
        <f t="shared" si="23"/>
        <v>-0.42965779619565186</v>
      </c>
    </row>
    <row r="63" spans="1:15" x14ac:dyDescent="0.35">
      <c r="A63" t="s">
        <v>56</v>
      </c>
      <c r="B63">
        <v>1163385.347609492</v>
      </c>
      <c r="C63">
        <v>136</v>
      </c>
      <c r="D63" s="4">
        <f t="shared" si="12"/>
        <v>1163385.347609492</v>
      </c>
      <c r="E63" s="4">
        <f t="shared" si="13"/>
        <v>136</v>
      </c>
      <c r="F63" s="4">
        <f t="shared" si="14"/>
        <v>6.065723589725013</v>
      </c>
      <c r="G63" s="4">
        <f t="shared" si="15"/>
        <v>2.1335389083702174</v>
      </c>
      <c r="H63" s="4">
        <f t="shared" si="16"/>
        <v>6.065723589725013</v>
      </c>
      <c r="I63" s="4">
        <f t="shared" si="17"/>
        <v>2.1335389083702174</v>
      </c>
      <c r="J63" s="4">
        <f t="shared" si="18"/>
        <v>-0.75675497635969924</v>
      </c>
      <c r="K63" s="4">
        <f t="shared" si="19"/>
        <v>-1.639277109187379</v>
      </c>
      <c r="L63" s="4">
        <f t="shared" si="20"/>
        <v>6.065723589725013</v>
      </c>
      <c r="M63" s="4">
        <f t="shared" si="21"/>
        <v>2.1335389083702174</v>
      </c>
      <c r="N63" s="4">
        <f t="shared" si="22"/>
        <v>-0.78035185297769116</v>
      </c>
      <c r="O63">
        <f t="shared" si="23"/>
        <v>-1.7592409829728024</v>
      </c>
    </row>
    <row r="64" spans="1:15" x14ac:dyDescent="0.35">
      <c r="A64" t="s">
        <v>0</v>
      </c>
      <c r="B64">
        <v>179652049.39087242</v>
      </c>
      <c r="C64">
        <v>19558</v>
      </c>
      <c r="D64" s="4">
        <f t="shared" si="12"/>
        <v>179652049.39087242</v>
      </c>
      <c r="E64" s="4">
        <f t="shared" si="13"/>
        <v>19558</v>
      </c>
      <c r="F64" s="4">
        <f t="shared" si="14"/>
        <v>8.2544321758076897</v>
      </c>
      <c r="G64" s="4">
        <f t="shared" si="15"/>
        <v>4.2913244417924199</v>
      </c>
      <c r="H64" s="4">
        <f t="shared" si="16"/>
        <v>8.2544321758076897</v>
      </c>
      <c r="I64" s="4">
        <f t="shared" si="17"/>
        <v>4.2913244417924199</v>
      </c>
      <c r="J64" s="4">
        <f t="shared" si="18"/>
        <v>0.80991713318023884</v>
      </c>
      <c r="K64" s="4">
        <f t="shared" si="19"/>
        <v>1.7544365854687975</v>
      </c>
      <c r="L64" s="4">
        <f t="shared" si="20"/>
        <v>8.2544321758076897</v>
      </c>
      <c r="M64" s="4">
        <f t="shared" si="21"/>
        <v>4.2913244417924199</v>
      </c>
      <c r="N64" s="4">
        <f t="shared" si="22"/>
        <v>0.80382831921682829</v>
      </c>
      <c r="O64">
        <f t="shared" si="23"/>
        <v>1.8121668027625173</v>
      </c>
    </row>
    <row r="65" spans="1:15" x14ac:dyDescent="0.35">
      <c r="A65" t="s">
        <v>15</v>
      </c>
      <c r="B65">
        <v>23488039.10435836</v>
      </c>
      <c r="C65">
        <v>732</v>
      </c>
      <c r="D65" s="4">
        <f t="shared" si="12"/>
        <v>23488039.10435836</v>
      </c>
      <c r="E65" s="4">
        <f t="shared" si="13"/>
        <v>732</v>
      </c>
      <c r="F65" s="4">
        <f t="shared" si="14"/>
        <v>7.3708467612772282</v>
      </c>
      <c r="G65" s="4">
        <f t="shared" si="15"/>
        <v>2.8645110810583918</v>
      </c>
      <c r="H65" s="4">
        <f t="shared" si="16"/>
        <v>7.3708467612772282</v>
      </c>
      <c r="I65" s="4">
        <f t="shared" si="17"/>
        <v>2.8645110810583918</v>
      </c>
      <c r="J65" s="4">
        <f t="shared" si="18"/>
        <v>-0.3782627233053617</v>
      </c>
      <c r="K65" s="4">
        <f t="shared" si="19"/>
        <v>-0.8193899517597949</v>
      </c>
      <c r="L65" s="4">
        <f t="shared" si="20"/>
        <v>7.3708467612772282</v>
      </c>
      <c r="M65" s="4">
        <f t="shared" si="21"/>
        <v>2.8645110810583918</v>
      </c>
      <c r="N65" s="4">
        <f t="shared" si="22"/>
        <v>-0.39141957222629964</v>
      </c>
      <c r="O65">
        <f t="shared" si="23"/>
        <v>-0.88242419156256557</v>
      </c>
    </row>
    <row r="66" spans="1:15" x14ac:dyDescent="0.35">
      <c r="A66" t="s">
        <v>43</v>
      </c>
      <c r="B66">
        <v>3377663.8361690529</v>
      </c>
      <c r="C66">
        <v>2340</v>
      </c>
      <c r="D66" s="4">
        <f t="shared" ref="D66:D97" si="24">IF(OR(B66=0,C66=0),"",B66)</f>
        <v>3377663.8361690529</v>
      </c>
      <c r="E66" s="4">
        <f t="shared" si="13"/>
        <v>2340</v>
      </c>
      <c r="F66" s="4">
        <f t="shared" si="14"/>
        <v>6.5286164239911697</v>
      </c>
      <c r="G66" s="4">
        <f t="shared" si="15"/>
        <v>3.369215857410143</v>
      </c>
      <c r="H66" s="4">
        <f t="shared" ref="H66:H97" si="25">IF(OR(F66="",G66=""),"",IF(OR(ABS(F66-AVERAGE(F$2:F$68))&gt;_xlfn.STDEV.S(F$2:F$68)*2,ABS(G66-AVERAGE(G$2:G$68))&gt;_xlfn.STDEV.S(G$2:G$68)*2),"",F66))</f>
        <v>6.5286164239911697</v>
      </c>
      <c r="I66" s="4">
        <f t="shared" si="17"/>
        <v>3.369215857410143</v>
      </c>
      <c r="J66" s="4">
        <f t="shared" ref="J66:J97" si="26">IF(OR(H66="",I66=""),"", (I66-(SLOPE(I$2:I$68,H$2:H$68)*H66+INTERCEPT(I$2:I$68,H$2:H$68))))</f>
        <v>0.35390662349508917</v>
      </c>
      <c r="K66" s="4">
        <f t="shared" ref="K66:K97" si="27">IF(J66="","", J66/_xlfn.STDEV.S(J$2:J$68))</f>
        <v>0.76662994603095902</v>
      </c>
      <c r="L66" s="4">
        <f t="shared" ref="L66:L97" si="28">IF(OR(K66&lt;-2,K66&gt;2),"",H66)</f>
        <v>6.5286164239911697</v>
      </c>
      <c r="M66" s="4">
        <f t="shared" si="21"/>
        <v>3.369215857410143</v>
      </c>
      <c r="N66" s="4">
        <f t="shared" ref="N66:N97" si="29">IF(OR(M66="",L66=""),"", (M66-(SLOPE(M$2:M$68,L$2:L$68)*L66+INTERCEPT(M$2:M$68,L$2:L$68))))</f>
        <v>0.3340125498889841</v>
      </c>
      <c r="O66">
        <f t="shared" ref="O66:O97" si="30">IF(AND(C66=0,B66=0),0,IF(AND(B66&gt;0,C66=0),-4.9,IF(AND(B66=0,C66&gt;0),4.9,(G66-(SLOPE(M$2:M$68,L$2:L$68)*F66+INTERCEPT(M$2:M$68,L$2:L$68)))/_xlfn.STDEV.S(N$2:N$68))))</f>
        <v>0.75300464059863936</v>
      </c>
    </row>
    <row r="67" spans="1:15" x14ac:dyDescent="0.35">
      <c r="A67" t="s">
        <v>50</v>
      </c>
      <c r="B67">
        <v>1314634.4304221659</v>
      </c>
      <c r="C67">
        <v>439</v>
      </c>
      <c r="D67" s="4">
        <f t="shared" si="24"/>
        <v>1314634.4304221659</v>
      </c>
      <c r="E67" s="4">
        <f t="shared" si="13"/>
        <v>439</v>
      </c>
      <c r="F67" s="4">
        <f t="shared" si="14"/>
        <v>6.1188050023141534</v>
      </c>
      <c r="G67" s="4">
        <f t="shared" si="15"/>
        <v>2.6424645202421213</v>
      </c>
      <c r="H67" s="4">
        <f t="shared" si="25"/>
        <v>6.1188050023141534</v>
      </c>
      <c r="I67" s="4">
        <f t="shared" si="17"/>
        <v>2.6424645202421213</v>
      </c>
      <c r="J67" s="4">
        <f t="shared" si="26"/>
        <v>-0.26216527733594353</v>
      </c>
      <c r="K67" s="4">
        <f t="shared" si="27"/>
        <v>-0.56790051124328467</v>
      </c>
      <c r="L67" s="4">
        <f t="shared" si="28"/>
        <v>6.1188050023141534</v>
      </c>
      <c r="M67" s="4">
        <f t="shared" si="21"/>
        <v>2.6424645202421213</v>
      </c>
      <c r="N67" s="4">
        <f t="shared" si="29"/>
        <v>-0.28533754160338543</v>
      </c>
      <c r="O67">
        <f t="shared" si="30"/>
        <v>-0.64327071852770146</v>
      </c>
    </row>
    <row r="68" spans="1:15" x14ac:dyDescent="0.35">
      <c r="A68" t="s">
        <v>62</v>
      </c>
      <c r="B68">
        <v>579.08287493412195</v>
      </c>
      <c r="C68">
        <v>3355</v>
      </c>
      <c r="D68" s="4">
        <f t="shared" si="24"/>
        <v>579.08287493412195</v>
      </c>
      <c r="E68" s="4">
        <f t="shared" si="13"/>
        <v>3355</v>
      </c>
      <c r="F68" s="4">
        <f t="shared" si="14"/>
        <v>2.7627407218465443</v>
      </c>
      <c r="G68" s="4">
        <f t="shared" si="15"/>
        <v>3.5256925245050108</v>
      </c>
      <c r="H68" s="4" t="str">
        <f t="shared" si="25"/>
        <v/>
      </c>
      <c r="I68" s="4" t="str">
        <f t="shared" si="17"/>
        <v/>
      </c>
      <c r="J68" s="4" t="str">
        <f t="shared" si="26"/>
        <v/>
      </c>
      <c r="K68" s="4" t="str">
        <f t="shared" si="27"/>
        <v/>
      </c>
      <c r="L68" s="4" t="str">
        <f t="shared" si="28"/>
        <v/>
      </c>
      <c r="M68" s="4" t="str">
        <f t="shared" si="21"/>
        <v/>
      </c>
      <c r="N68" s="4" t="str">
        <f t="shared" si="29"/>
        <v/>
      </c>
      <c r="O68">
        <f t="shared" si="30"/>
        <v>3.3307487893858947</v>
      </c>
    </row>
  </sheetData>
  <autoFilter ref="A1:O1" xr:uid="{430AB774-A274-4C7A-A613-E29538348A59}">
    <sortState xmlns:xlrd2="http://schemas.microsoft.com/office/spreadsheetml/2017/richdata2" ref="A2:O68">
      <sortCondition ref="A1"/>
    </sortState>
  </autoFilter>
  <conditionalFormatting sqref="O1:O68">
    <cfRule type="cellIs" dxfId="1" priority="1" operator="lessThan">
      <formula>-2</formula>
    </cfRule>
    <cfRule type="cellIs" dxfId="0" priority="2" operator="greaterThan">
      <formula>2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Yuki FURUSE</dc:creator>
  <cp:lastModifiedBy>Yuki FURUSE</cp:lastModifiedBy>
  <dcterms:created xsi:type="dcterms:W3CDTF">2026-03-27T02:42:12Z</dcterms:created>
  <dcterms:modified xsi:type="dcterms:W3CDTF">2026-04-04T07:33:24Z</dcterms:modified>
</cp:coreProperties>
</file>