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googledrive\Lab\Project\tamaki_BARI\"/>
    </mc:Choice>
  </mc:AlternateContent>
  <xr:revisionPtr revIDLastSave="0" documentId="13_ncr:1_{6CFDB9C2-4833-4284-985D-6CAEF7F539A7}" xr6:coauthVersionLast="47" xr6:coauthVersionMax="47" xr10:uidLastSave="{00000000-0000-0000-0000-000000000000}"/>
  <bookViews>
    <workbookView xWindow="-110" yWindow="490" windowWidth="38620" windowHeight="21220" xr2:uid="{7D1DE47E-1026-43EE-AC68-DB587249B440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Sheet1!$A$1:$O$1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1" l="1"/>
  <c r="B18" i="1"/>
  <c r="C13" i="1"/>
  <c r="B13" i="1"/>
  <c r="C25" i="1"/>
  <c r="B25" i="1"/>
  <c r="C19" i="1"/>
  <c r="B19" i="1"/>
  <c r="E19" i="1" s="1"/>
  <c r="G19" i="1" s="1"/>
  <c r="C68" i="1"/>
  <c r="B68" i="1"/>
  <c r="C38" i="1"/>
  <c r="B38" i="1"/>
  <c r="C24" i="1"/>
  <c r="B24" i="1"/>
  <c r="E24" i="1" s="1"/>
  <c r="G24" i="1" s="1"/>
  <c r="C20" i="1"/>
  <c r="B20" i="1"/>
  <c r="C6" i="1"/>
  <c r="B6" i="1"/>
  <c r="C11" i="1"/>
  <c r="B11" i="1"/>
  <c r="C63" i="1"/>
  <c r="B63" i="1"/>
  <c r="C23" i="1"/>
  <c r="B23" i="1"/>
  <c r="C10" i="1"/>
  <c r="B10" i="1"/>
  <c r="E10" i="1" s="1"/>
  <c r="G10" i="1" s="1"/>
  <c r="C62" i="1"/>
  <c r="B62" i="1"/>
  <c r="E62" i="1" s="1"/>
  <c r="G62" i="1" s="1"/>
  <c r="C30" i="1"/>
  <c r="B30" i="1"/>
  <c r="E30" i="1" s="1"/>
  <c r="G30" i="1" s="1"/>
  <c r="C8" i="1"/>
  <c r="B8" i="1"/>
  <c r="C67" i="1"/>
  <c r="B67" i="1"/>
  <c r="C17" i="1"/>
  <c r="B17" i="1"/>
  <c r="D17" i="1" s="1"/>
  <c r="F17" i="1" s="1"/>
  <c r="C50" i="1"/>
  <c r="B50" i="1"/>
  <c r="C32" i="1"/>
  <c r="B32" i="1"/>
  <c r="E32" i="1" s="1"/>
  <c r="G32" i="1" s="1"/>
  <c r="C7" i="1"/>
  <c r="B7" i="1"/>
  <c r="C37" i="1"/>
  <c r="B37" i="1"/>
  <c r="C35" i="1"/>
  <c r="B35" i="1"/>
  <c r="C66" i="1"/>
  <c r="B66" i="1"/>
  <c r="C22" i="1"/>
  <c r="B22" i="1"/>
  <c r="C15" i="1"/>
  <c r="B15" i="1"/>
  <c r="C46" i="1"/>
  <c r="B46" i="1"/>
  <c r="C61" i="1"/>
  <c r="B61" i="1"/>
  <c r="E61" i="1" s="1"/>
  <c r="G61" i="1" s="1"/>
  <c r="C5" i="1"/>
  <c r="B5" i="1"/>
  <c r="D5" i="1" s="1"/>
  <c r="F5" i="1" s="1"/>
  <c r="C48" i="1"/>
  <c r="B48" i="1"/>
  <c r="C36" i="1"/>
  <c r="B36" i="1"/>
  <c r="C39" i="1"/>
  <c r="B39" i="1"/>
  <c r="C44" i="1"/>
  <c r="B44" i="1"/>
  <c r="C57" i="1"/>
  <c r="B57" i="1"/>
  <c r="E57" i="1" s="1"/>
  <c r="G57" i="1" s="1"/>
  <c r="C60" i="1"/>
  <c r="B60" i="1"/>
  <c r="C16" i="1"/>
  <c r="B16" i="1"/>
  <c r="E16" i="1" s="1"/>
  <c r="G16" i="1" s="1"/>
  <c r="C43" i="1"/>
  <c r="B43" i="1"/>
  <c r="E43" i="1" s="1"/>
  <c r="G43" i="1" s="1"/>
  <c r="C27" i="1"/>
  <c r="B27" i="1"/>
  <c r="C21" i="1"/>
  <c r="B21" i="1"/>
  <c r="E21" i="1" s="1"/>
  <c r="G21" i="1" s="1"/>
  <c r="C2" i="1"/>
  <c r="B2" i="1"/>
  <c r="C42" i="1"/>
  <c r="B42" i="1"/>
  <c r="C53" i="1"/>
  <c r="B53" i="1"/>
  <c r="C47" i="1"/>
  <c r="B47" i="1"/>
  <c r="C26" i="1"/>
  <c r="B26" i="1"/>
  <c r="C3" i="1"/>
  <c r="B3" i="1"/>
  <c r="E3" i="1" s="1"/>
  <c r="G3" i="1" s="1"/>
  <c r="C12" i="1"/>
  <c r="B12" i="1"/>
  <c r="D12" i="1" s="1"/>
  <c r="F12" i="1" s="1"/>
  <c r="C9" i="1"/>
  <c r="B9" i="1"/>
  <c r="C56" i="1"/>
  <c r="B56" i="1"/>
  <c r="C59" i="1"/>
  <c r="B59" i="1"/>
  <c r="C45" i="1"/>
  <c r="B45" i="1"/>
  <c r="E45" i="1" s="1"/>
  <c r="G45" i="1" s="1"/>
  <c r="C52" i="1"/>
  <c r="B52" i="1"/>
  <c r="C65" i="1"/>
  <c r="B65" i="1"/>
  <c r="C41" i="1"/>
  <c r="B41" i="1"/>
  <c r="C14" i="1"/>
  <c r="B14" i="1"/>
  <c r="E14" i="1" s="1"/>
  <c r="G14" i="1" s="1"/>
  <c r="C34" i="1"/>
  <c r="B34" i="1"/>
  <c r="C4" i="1"/>
  <c r="B4" i="1"/>
  <c r="C33" i="1"/>
  <c r="B33" i="1"/>
  <c r="C58" i="1"/>
  <c r="B58" i="1"/>
  <c r="C54" i="1"/>
  <c r="B54" i="1"/>
  <c r="C49" i="1"/>
  <c r="B49" i="1"/>
  <c r="E49" i="1" s="1"/>
  <c r="G49" i="1" s="1"/>
  <c r="C29" i="1"/>
  <c r="B29" i="1"/>
  <c r="C51" i="1"/>
  <c r="B51" i="1"/>
  <c r="E51" i="1" s="1"/>
  <c r="G51" i="1" s="1"/>
  <c r="C28" i="1"/>
  <c r="B28" i="1"/>
  <c r="C55" i="1"/>
  <c r="B55" i="1"/>
  <c r="C31" i="1"/>
  <c r="B31" i="1"/>
  <c r="E31" i="1" s="1"/>
  <c r="G31" i="1" s="1"/>
  <c r="C40" i="1"/>
  <c r="B40" i="1"/>
  <c r="C64" i="1"/>
  <c r="B64" i="1"/>
  <c r="E55" i="1" l="1"/>
  <c r="G55" i="1" s="1"/>
  <c r="D56" i="1"/>
  <c r="F56" i="1" s="1"/>
  <c r="E53" i="1"/>
  <c r="G53" i="1" s="1"/>
  <c r="E9" i="1"/>
  <c r="G9" i="1" s="1"/>
  <c r="E12" i="1"/>
  <c r="G12" i="1" s="1"/>
  <c r="E33" i="1"/>
  <c r="G33" i="1" s="1"/>
  <c r="E11" i="1"/>
  <c r="G11" i="1" s="1"/>
  <c r="E2" i="1"/>
  <c r="G2" i="1" s="1"/>
  <c r="E66" i="1"/>
  <c r="G66" i="1" s="1"/>
  <c r="E34" i="1"/>
  <c r="G34" i="1" s="1"/>
  <c r="E7" i="1"/>
  <c r="G7" i="1" s="1"/>
  <c r="D65" i="1"/>
  <c r="F65" i="1" s="1"/>
  <c r="E68" i="1"/>
  <c r="G68" i="1" s="1"/>
  <c r="E40" i="1"/>
  <c r="G40" i="1" s="1"/>
  <c r="E17" i="1"/>
  <c r="G17" i="1" s="1"/>
  <c r="D26" i="1"/>
  <c r="F26" i="1" s="1"/>
  <c r="E48" i="1"/>
  <c r="G48" i="1" s="1"/>
  <c r="E8" i="1"/>
  <c r="G8" i="1" s="1"/>
  <c r="E5" i="1"/>
  <c r="G5" i="1" s="1"/>
  <c r="D53" i="1"/>
  <c r="F53" i="1" s="1"/>
  <c r="E41" i="1"/>
  <c r="G41" i="1" s="1"/>
  <c r="D40" i="1"/>
  <c r="F40" i="1" s="1"/>
  <c r="D21" i="1"/>
  <c r="F21" i="1" s="1"/>
  <c r="D28" i="1"/>
  <c r="F28" i="1" s="1"/>
  <c r="E35" i="1"/>
  <c r="G35" i="1" s="1"/>
  <c r="E20" i="1"/>
  <c r="G20" i="1" s="1"/>
  <c r="D49" i="1"/>
  <c r="F49" i="1" s="1"/>
  <c r="E58" i="1"/>
  <c r="G58" i="1" s="1"/>
  <c r="E39" i="1"/>
  <c r="G39" i="1" s="1"/>
  <c r="E13" i="1"/>
  <c r="G13" i="1" s="1"/>
  <c r="D15" i="1"/>
  <c r="F15" i="1" s="1"/>
  <c r="E59" i="1"/>
  <c r="G59" i="1" s="1"/>
  <c r="E36" i="1"/>
  <c r="G36" i="1" s="1"/>
  <c r="D48" i="1"/>
  <c r="F48" i="1" s="1"/>
  <c r="D11" i="1"/>
  <c r="F11" i="1" s="1"/>
  <c r="D33" i="1"/>
  <c r="F33" i="1" s="1"/>
  <c r="E50" i="1"/>
  <c r="G50" i="1" s="1"/>
  <c r="D24" i="1"/>
  <c r="F24" i="1" s="1"/>
  <c r="D55" i="1"/>
  <c r="F55" i="1" s="1"/>
  <c r="D8" i="1"/>
  <c r="F8" i="1" s="1"/>
  <c r="E60" i="1"/>
  <c r="G60" i="1" s="1"/>
  <c r="E28" i="1"/>
  <c r="G28" i="1" s="1"/>
  <c r="E65" i="1"/>
  <c r="G65" i="1" s="1"/>
  <c r="D62" i="1"/>
  <c r="F62" i="1" s="1"/>
  <c r="D3" i="1"/>
  <c r="F3" i="1" s="1"/>
  <c r="D57" i="1"/>
  <c r="F57" i="1" s="1"/>
  <c r="D25" i="1"/>
  <c r="F25" i="1" s="1"/>
  <c r="E56" i="1"/>
  <c r="G56" i="1" s="1"/>
  <c r="E15" i="1"/>
  <c r="G15" i="1" s="1"/>
  <c r="D35" i="1"/>
  <c r="F35" i="1" s="1"/>
  <c r="D10" i="1"/>
  <c r="F10" i="1" s="1"/>
  <c r="D13" i="1"/>
  <c r="F13" i="1" s="1"/>
  <c r="D39" i="1"/>
  <c r="F39" i="1" s="1"/>
  <c r="E23" i="1"/>
  <c r="G23" i="1" s="1"/>
  <c r="E4" i="1"/>
  <c r="G4" i="1" s="1"/>
  <c r="D4" i="1"/>
  <c r="F4" i="1" s="1"/>
  <c r="E38" i="1"/>
  <c r="G38" i="1" s="1"/>
  <c r="D38" i="1"/>
  <c r="F38" i="1" s="1"/>
  <c r="E37" i="1"/>
  <c r="G37" i="1" s="1"/>
  <c r="D37" i="1"/>
  <c r="F37" i="1" s="1"/>
  <c r="E29" i="1"/>
  <c r="G29" i="1" s="1"/>
  <c r="D29" i="1"/>
  <c r="F29" i="1" s="1"/>
  <c r="E46" i="1"/>
  <c r="G46" i="1" s="1"/>
  <c r="D46" i="1"/>
  <c r="F46" i="1" s="1"/>
  <c r="E27" i="1"/>
  <c r="G27" i="1" s="1"/>
  <c r="D27" i="1"/>
  <c r="F27" i="1" s="1"/>
  <c r="E63" i="1"/>
  <c r="G63" i="1" s="1"/>
  <c r="D63" i="1"/>
  <c r="F63" i="1" s="1"/>
  <c r="E47" i="1"/>
  <c r="G47" i="1" s="1"/>
  <c r="D47" i="1"/>
  <c r="F47" i="1" s="1"/>
  <c r="D41" i="1"/>
  <c r="F41" i="1" s="1"/>
  <c r="D60" i="1"/>
  <c r="F60" i="1" s="1"/>
  <c r="D54" i="1"/>
  <c r="F54" i="1" s="1"/>
  <c r="D42" i="1"/>
  <c r="F42" i="1" s="1"/>
  <c r="D22" i="1"/>
  <c r="F22" i="1" s="1"/>
  <c r="D6" i="1"/>
  <c r="F6" i="1" s="1"/>
  <c r="E54" i="1"/>
  <c r="G54" i="1" s="1"/>
  <c r="E42" i="1"/>
  <c r="G42" i="1" s="1"/>
  <c r="E22" i="1"/>
  <c r="G22" i="1" s="1"/>
  <c r="E6" i="1"/>
  <c r="G6" i="1" s="1"/>
  <c r="D14" i="1"/>
  <c r="F14" i="1" s="1"/>
  <c r="D16" i="1"/>
  <c r="F16" i="1" s="1"/>
  <c r="D32" i="1"/>
  <c r="F32" i="1" s="1"/>
  <c r="D19" i="1"/>
  <c r="F19" i="1" s="1"/>
  <c r="D45" i="1"/>
  <c r="F45" i="1" s="1"/>
  <c r="D9" i="1"/>
  <c r="F9" i="1" s="1"/>
  <c r="D30" i="1"/>
  <c r="F30" i="1" s="1"/>
  <c r="D58" i="1"/>
  <c r="F58" i="1" s="1"/>
  <c r="D2" i="1"/>
  <c r="F2" i="1" s="1"/>
  <c r="D66" i="1"/>
  <c r="F66" i="1" s="1"/>
  <c r="D20" i="1"/>
  <c r="F20" i="1" s="1"/>
  <c r="D64" i="1"/>
  <c r="F64" i="1" s="1"/>
  <c r="D52" i="1"/>
  <c r="F52" i="1" s="1"/>
  <c r="D44" i="1"/>
  <c r="F44" i="1" s="1"/>
  <c r="D67" i="1"/>
  <c r="F67" i="1" s="1"/>
  <c r="D18" i="1"/>
  <c r="F18" i="1" s="1"/>
  <c r="D31" i="1"/>
  <c r="F31" i="1" s="1"/>
  <c r="D36" i="1"/>
  <c r="F36" i="1" s="1"/>
  <c r="E64" i="1"/>
  <c r="G64" i="1" s="1"/>
  <c r="E52" i="1"/>
  <c r="G52" i="1" s="1"/>
  <c r="E44" i="1"/>
  <c r="G44" i="1" s="1"/>
  <c r="E67" i="1"/>
  <c r="G67" i="1" s="1"/>
  <c r="E18" i="1"/>
  <c r="G18" i="1" s="1"/>
  <c r="D50" i="1"/>
  <c r="F50" i="1" s="1"/>
  <c r="D51" i="1"/>
  <c r="F51" i="1" s="1"/>
  <c r="D61" i="1"/>
  <c r="F61" i="1" s="1"/>
  <c r="D23" i="1"/>
  <c r="F23" i="1" s="1"/>
  <c r="E26" i="1"/>
  <c r="G26" i="1" s="1"/>
  <c r="E25" i="1"/>
  <c r="G25" i="1" s="1"/>
  <c r="D34" i="1"/>
  <c r="F34" i="1" s="1"/>
  <c r="D59" i="1"/>
  <c r="F59" i="1" s="1"/>
  <c r="D43" i="1"/>
  <c r="F43" i="1" s="1"/>
  <c r="D7" i="1"/>
  <c r="F7" i="1" s="1"/>
  <c r="D68" i="1"/>
  <c r="F68" i="1" s="1"/>
  <c r="I17" i="1" l="1"/>
  <c r="H25" i="1"/>
  <c r="H35" i="1"/>
  <c r="H15" i="1"/>
  <c r="I33" i="1"/>
  <c r="H11" i="1"/>
  <c r="I28" i="1"/>
  <c r="I23" i="1"/>
  <c r="H23" i="1"/>
  <c r="H24" i="1"/>
  <c r="H17" i="1"/>
  <c r="I65" i="1"/>
  <c r="I38" i="1"/>
  <c r="H38" i="1"/>
  <c r="I61" i="1"/>
  <c r="H61" i="1"/>
  <c r="I50" i="1"/>
  <c r="H50" i="1"/>
  <c r="H28" i="1"/>
  <c r="I4" i="1"/>
  <c r="H4" i="1"/>
  <c r="H33" i="1"/>
  <c r="I51" i="1"/>
  <c r="H51" i="1"/>
  <c r="I24" i="1"/>
  <c r="I10" i="1"/>
  <c r="I36" i="1"/>
  <c r="H36" i="1"/>
  <c r="H26" i="1"/>
  <c r="H10" i="1"/>
  <c r="I40" i="1"/>
  <c r="I31" i="1"/>
  <c r="H31" i="1"/>
  <c r="I26" i="1"/>
  <c r="I37" i="1"/>
  <c r="H37" i="1"/>
  <c r="I15" i="1"/>
  <c r="I18" i="1"/>
  <c r="H18" i="1"/>
  <c r="H67" i="1"/>
  <c r="I67" i="1"/>
  <c r="I60" i="1"/>
  <c r="H60" i="1"/>
  <c r="I63" i="1"/>
  <c r="H63" i="1"/>
  <c r="I21" i="1"/>
  <c r="I52" i="1"/>
  <c r="H52" i="1"/>
  <c r="I41" i="1"/>
  <c r="H41" i="1"/>
  <c r="H64" i="1"/>
  <c r="I64" i="1"/>
  <c r="I62" i="1"/>
  <c r="I48" i="1"/>
  <c r="I12" i="1"/>
  <c r="I55" i="1"/>
  <c r="H62" i="1"/>
  <c r="H48" i="1"/>
  <c r="H12" i="1"/>
  <c r="H55" i="1"/>
  <c r="H13" i="1"/>
  <c r="I54" i="1"/>
  <c r="H54" i="1"/>
  <c r="I43" i="1"/>
  <c r="H43" i="1"/>
  <c r="I19" i="1"/>
  <c r="H19" i="1"/>
  <c r="H40" i="1"/>
  <c r="I8" i="1"/>
  <c r="H21" i="1"/>
  <c r="H53" i="1"/>
  <c r="I59" i="1"/>
  <c r="H59" i="1"/>
  <c r="I32" i="1"/>
  <c r="H32" i="1"/>
  <c r="H57" i="1"/>
  <c r="I42" i="1"/>
  <c r="H42" i="1"/>
  <c r="I9" i="1"/>
  <c r="H9" i="1"/>
  <c r="I34" i="1"/>
  <c r="H34" i="1"/>
  <c r="I57" i="1"/>
  <c r="I14" i="1"/>
  <c r="H14" i="1"/>
  <c r="H5" i="1"/>
  <c r="I46" i="1"/>
  <c r="H46" i="1"/>
  <c r="I3" i="1"/>
  <c r="I29" i="1"/>
  <c r="H29" i="1"/>
  <c r="H8" i="1"/>
  <c r="I30" i="1"/>
  <c r="H30" i="1"/>
  <c r="I7" i="1"/>
  <c r="H7" i="1"/>
  <c r="I5" i="1"/>
  <c r="I11" i="1"/>
  <c r="H3" i="1"/>
  <c r="I22" i="1"/>
  <c r="H22" i="1"/>
  <c r="I20" i="1"/>
  <c r="H20" i="1"/>
  <c r="I27" i="1"/>
  <c r="H27" i="1"/>
  <c r="I58" i="1"/>
  <c r="H58" i="1"/>
  <c r="I68" i="1"/>
  <c r="H68" i="1"/>
  <c r="I16" i="1"/>
  <c r="H16" i="1"/>
  <c r="I53" i="1"/>
  <c r="H49" i="1"/>
  <c r="I6" i="1"/>
  <c r="H6" i="1"/>
  <c r="I66" i="1"/>
  <c r="H66" i="1"/>
  <c r="H2" i="1"/>
  <c r="I2" i="1"/>
  <c r="I47" i="1"/>
  <c r="H47" i="1"/>
  <c r="I45" i="1"/>
  <c r="H45" i="1"/>
  <c r="I39" i="1"/>
  <c r="I25" i="1"/>
  <c r="J25" i="1" s="1"/>
  <c r="K25" i="1" s="1"/>
  <c r="I44" i="1"/>
  <c r="H44" i="1"/>
  <c r="I13" i="1"/>
  <c r="I35" i="1"/>
  <c r="I56" i="1"/>
  <c r="H39" i="1"/>
  <c r="I49" i="1"/>
  <c r="H65" i="1"/>
  <c r="H56" i="1"/>
  <c r="J15" i="1" l="1"/>
  <c r="J6" i="1"/>
  <c r="J35" i="1"/>
  <c r="J11" i="1"/>
  <c r="J66" i="1"/>
  <c r="J5" i="1"/>
  <c r="J14" i="1"/>
  <c r="J34" i="1"/>
  <c r="J52" i="1"/>
  <c r="J68" i="1"/>
  <c r="K68" i="1" s="1"/>
  <c r="J42" i="1"/>
  <c r="J28" i="1"/>
  <c r="J4" i="1"/>
  <c r="J50" i="1"/>
  <c r="J32" i="1"/>
  <c r="J63" i="1"/>
  <c r="J61" i="1"/>
  <c r="J16" i="1"/>
  <c r="J27" i="1"/>
  <c r="J57" i="1"/>
  <c r="J56" i="1"/>
  <c r="J59" i="1"/>
  <c r="J60" i="1"/>
  <c r="J38" i="1"/>
  <c r="J65" i="1"/>
  <c r="J20" i="1"/>
  <c r="J41" i="1"/>
  <c r="J9" i="1"/>
  <c r="J58" i="1"/>
  <c r="J53" i="1"/>
  <c r="J39" i="1"/>
  <c r="M25" i="1"/>
  <c r="L25" i="1"/>
  <c r="J40" i="1"/>
  <c r="J23" i="1"/>
  <c r="J24" i="1"/>
  <c r="J3" i="1"/>
  <c r="J19" i="1"/>
  <c r="K19" i="1" s="1"/>
  <c r="J18" i="1"/>
  <c r="J51" i="1"/>
  <c r="J67" i="1"/>
  <c r="J30" i="1"/>
  <c r="J33" i="1"/>
  <c r="J43" i="1"/>
  <c r="J13" i="1"/>
  <c r="K13" i="1" s="1"/>
  <c r="J31" i="1"/>
  <c r="K31" i="1" s="1"/>
  <c r="J22" i="1"/>
  <c r="J37" i="1"/>
  <c r="J8" i="1"/>
  <c r="J29" i="1"/>
  <c r="J47" i="1"/>
  <c r="J48" i="1"/>
  <c r="J10" i="1"/>
  <c r="J64" i="1"/>
  <c r="J21" i="1"/>
  <c r="J7" i="1"/>
  <c r="J45" i="1"/>
  <c r="J62" i="1"/>
  <c r="J26" i="1"/>
  <c r="J49" i="1"/>
  <c r="J17" i="1"/>
  <c r="J12" i="1"/>
  <c r="J46" i="1"/>
  <c r="J36" i="1"/>
  <c r="J44" i="1"/>
  <c r="J54" i="1"/>
  <c r="J55" i="1"/>
  <c r="J2" i="1"/>
  <c r="K46" i="1" l="1"/>
  <c r="K12" i="1"/>
  <c r="K7" i="1"/>
  <c r="K20" i="1"/>
  <c r="K21" i="1"/>
  <c r="K65" i="1"/>
  <c r="N25" i="1"/>
  <c r="K41" i="1"/>
  <c r="K48" i="1"/>
  <c r="K59" i="1"/>
  <c r="K17" i="1"/>
  <c r="K47" i="1"/>
  <c r="K56" i="1"/>
  <c r="K62" i="1"/>
  <c r="K10" i="1"/>
  <c r="K57" i="1"/>
  <c r="K26" i="1"/>
  <c r="K27" i="1"/>
  <c r="K53" i="1"/>
  <c r="K38" i="1"/>
  <c r="K61" i="1"/>
  <c r="M46" i="1"/>
  <c r="L46" i="1"/>
  <c r="K45" i="1"/>
  <c r="K29" i="1"/>
  <c r="K63" i="1"/>
  <c r="K58" i="1"/>
  <c r="K16" i="1"/>
  <c r="M68" i="1"/>
  <c r="L68" i="1"/>
  <c r="K67" i="1"/>
  <c r="K52" i="1"/>
  <c r="K51" i="1"/>
  <c r="K34" i="1"/>
  <c r="K2" i="1"/>
  <c r="M19" i="1"/>
  <c r="L19" i="1"/>
  <c r="K5" i="1"/>
  <c r="K64" i="1"/>
  <c r="K4" i="1"/>
  <c r="K33" i="1"/>
  <c r="K3" i="1"/>
  <c r="K66" i="1"/>
  <c r="K49" i="1"/>
  <c r="K22" i="1"/>
  <c r="K6" i="1"/>
  <c r="L31" i="1"/>
  <c r="M31" i="1"/>
  <c r="M13" i="1"/>
  <c r="L13" i="1"/>
  <c r="K42" i="1"/>
  <c r="K18" i="1"/>
  <c r="K54" i="1"/>
  <c r="K24" i="1"/>
  <c r="K35" i="1"/>
  <c r="K39" i="1"/>
  <c r="K37" i="1"/>
  <c r="K50" i="1"/>
  <c r="K28" i="1"/>
  <c r="K14" i="1"/>
  <c r="K44" i="1"/>
  <c r="K23" i="1"/>
  <c r="K11" i="1"/>
  <c r="K9" i="1"/>
  <c r="K60" i="1"/>
  <c r="K8" i="1"/>
  <c r="K32" i="1"/>
  <c r="K43" i="1"/>
  <c r="K30" i="1"/>
  <c r="K55" i="1"/>
  <c r="K36" i="1"/>
  <c r="K40" i="1"/>
  <c r="K15" i="1"/>
  <c r="N31" i="1" l="1"/>
  <c r="N13" i="1"/>
  <c r="M51" i="1"/>
  <c r="L51" i="1"/>
  <c r="M44" i="1"/>
  <c r="L44" i="1"/>
  <c r="M67" i="1"/>
  <c r="L67" i="1"/>
  <c r="M11" i="1"/>
  <c r="L11" i="1"/>
  <c r="M54" i="1"/>
  <c r="L54" i="1"/>
  <c r="M61" i="1"/>
  <c r="L61" i="1"/>
  <c r="M60" i="1"/>
  <c r="L60" i="1"/>
  <c r="M23" i="1"/>
  <c r="L23" i="1"/>
  <c r="M58" i="1"/>
  <c r="L58" i="1"/>
  <c r="L45" i="1"/>
  <c r="M45" i="1"/>
  <c r="M3" i="1"/>
  <c r="L3" i="1"/>
  <c r="M59" i="1"/>
  <c r="L59" i="1"/>
  <c r="M24" i="1"/>
  <c r="L24" i="1"/>
  <c r="M48" i="1"/>
  <c r="L48" i="1"/>
  <c r="M6" i="1"/>
  <c r="L6" i="1"/>
  <c r="M40" i="1"/>
  <c r="L40" i="1"/>
  <c r="M4" i="1"/>
  <c r="L4" i="1"/>
  <c r="M41" i="1"/>
  <c r="L41" i="1"/>
  <c r="M9" i="1"/>
  <c r="L9" i="1"/>
  <c r="N68" i="1"/>
  <c r="M42" i="1"/>
  <c r="L42" i="1"/>
  <c r="L47" i="1"/>
  <c r="M47" i="1"/>
  <c r="M55" i="1"/>
  <c r="L55" i="1"/>
  <c r="M5" i="1"/>
  <c r="L5" i="1"/>
  <c r="M65" i="1"/>
  <c r="L65" i="1"/>
  <c r="M28" i="1"/>
  <c r="L28" i="1"/>
  <c r="M37" i="1"/>
  <c r="L37" i="1"/>
  <c r="M30" i="1"/>
  <c r="L30" i="1"/>
  <c r="M21" i="1"/>
  <c r="L21" i="1"/>
  <c r="M16" i="1"/>
  <c r="L16" i="1"/>
  <c r="L63" i="1"/>
  <c r="M63" i="1"/>
  <c r="M39" i="1"/>
  <c r="L39" i="1"/>
  <c r="M53" i="1"/>
  <c r="L53" i="1"/>
  <c r="M26" i="1"/>
  <c r="L26" i="1"/>
  <c r="M10" i="1"/>
  <c r="L10" i="1"/>
  <c r="M22" i="1"/>
  <c r="L22" i="1"/>
  <c r="M17" i="1"/>
  <c r="L17" i="1"/>
  <c r="M15" i="1"/>
  <c r="L15" i="1"/>
  <c r="M36" i="1"/>
  <c r="L36" i="1"/>
  <c r="M43" i="1"/>
  <c r="L43" i="1"/>
  <c r="N19" i="1"/>
  <c r="M20" i="1"/>
  <c r="L20" i="1"/>
  <c r="L29" i="1"/>
  <c r="M29" i="1"/>
  <c r="M35" i="1"/>
  <c r="L35" i="1"/>
  <c r="M38" i="1"/>
  <c r="L38" i="1"/>
  <c r="L27" i="1"/>
  <c r="M27" i="1"/>
  <c r="M57" i="1"/>
  <c r="L57" i="1"/>
  <c r="M62" i="1"/>
  <c r="L62" i="1"/>
  <c r="M49" i="1"/>
  <c r="L49" i="1"/>
  <c r="M32" i="1"/>
  <c r="L32" i="1"/>
  <c r="L2" i="1"/>
  <c r="M2" i="1"/>
  <c r="M7" i="1"/>
  <c r="L7" i="1"/>
  <c r="M52" i="1"/>
  <c r="L52" i="1"/>
  <c r="M14" i="1"/>
  <c r="L14" i="1"/>
  <c r="M50" i="1"/>
  <c r="L50" i="1"/>
  <c r="M18" i="1"/>
  <c r="L18" i="1"/>
  <c r="M56" i="1"/>
  <c r="L56" i="1"/>
  <c r="L66" i="1"/>
  <c r="M66" i="1"/>
  <c r="M33" i="1"/>
  <c r="L33" i="1"/>
  <c r="M64" i="1"/>
  <c r="L64" i="1"/>
  <c r="M8" i="1"/>
  <c r="L8" i="1"/>
  <c r="M34" i="1"/>
  <c r="L34" i="1"/>
  <c r="M12" i="1"/>
  <c r="L12" i="1"/>
  <c r="N40" i="1" l="1"/>
  <c r="N38" i="1"/>
  <c r="N57" i="1"/>
  <c r="N24" i="1"/>
  <c r="N8" i="1"/>
  <c r="N30" i="1"/>
  <c r="N59" i="1"/>
  <c r="N12" i="1"/>
  <c r="N21" i="1"/>
  <c r="N64" i="1"/>
  <c r="N35" i="1"/>
  <c r="N37" i="1"/>
  <c r="N33" i="1"/>
  <c r="N45" i="1"/>
  <c r="N29" i="1"/>
  <c r="N3" i="1"/>
  <c r="N66" i="1"/>
  <c r="N28" i="1"/>
  <c r="N63" i="1"/>
  <c r="N65" i="1"/>
  <c r="N58" i="1"/>
  <c r="N56" i="1"/>
  <c r="N27" i="1"/>
  <c r="N43" i="1"/>
  <c r="N5" i="1"/>
  <c r="N39" i="1"/>
  <c r="N20" i="1"/>
  <c r="N23" i="1"/>
  <c r="N18" i="1"/>
  <c r="N46" i="1"/>
  <c r="N48" i="1"/>
  <c r="N52" i="1"/>
  <c r="N47" i="1"/>
  <c r="N22" i="1"/>
  <c r="N11" i="1"/>
  <c r="N62" i="1"/>
  <c r="N34" i="1"/>
  <c r="N36" i="1"/>
  <c r="N2" i="1"/>
  <c r="N10" i="1"/>
  <c r="N67" i="1"/>
  <c r="N16" i="1"/>
  <c r="N50" i="1"/>
  <c r="N41" i="1"/>
  <c r="N6" i="1"/>
  <c r="N60" i="1"/>
  <c r="N15" i="1"/>
  <c r="N17" i="1"/>
  <c r="N9" i="1"/>
  <c r="N26" i="1"/>
  <c r="N44" i="1"/>
  <c r="N49" i="1"/>
  <c r="N61" i="1"/>
  <c r="N54" i="1"/>
  <c r="N32" i="1"/>
  <c r="N4" i="1"/>
  <c r="N55" i="1"/>
  <c r="N14" i="1"/>
  <c r="N42" i="1"/>
  <c r="N7" i="1"/>
  <c r="N53" i="1"/>
  <c r="N51" i="1"/>
  <c r="O13" i="1" l="1"/>
  <c r="O4" i="1"/>
  <c r="O68" i="1"/>
  <c r="O22" i="1"/>
  <c r="O10" i="1"/>
  <c r="O54" i="1"/>
  <c r="O9" i="1"/>
  <c r="O56" i="1"/>
  <c r="O2" i="1"/>
  <c r="O65" i="1"/>
  <c r="O31" i="1"/>
  <c r="O7" i="1"/>
  <c r="O49" i="1"/>
  <c r="O61" i="1"/>
  <c r="O14" i="1"/>
  <c r="O45" i="1"/>
  <c r="O59" i="1"/>
  <c r="O40" i="1"/>
  <c r="O58" i="1"/>
  <c r="O24" i="1"/>
  <c r="O20" i="1"/>
  <c r="O34" i="1"/>
  <c r="O36" i="1"/>
  <c r="O41" i="1"/>
  <c r="O23" i="1"/>
  <c r="O15" i="1"/>
  <c r="O37" i="1"/>
  <c r="O46" i="1"/>
  <c r="O57" i="1"/>
  <c r="O32" i="1"/>
  <c r="O16" i="1"/>
  <c r="O6" i="1"/>
  <c r="O55" i="1"/>
  <c r="O39" i="1"/>
  <c r="O51" i="1"/>
  <c r="O21" i="1"/>
  <c r="O12" i="1"/>
  <c r="O60" i="1"/>
  <c r="O33" i="1"/>
  <c r="O11" i="1"/>
  <c r="O47" i="1"/>
  <c r="O17" i="1"/>
  <c r="O62" i="1"/>
  <c r="O44" i="1"/>
  <c r="O8" i="1"/>
  <c r="O35" i="1"/>
  <c r="O38" i="1"/>
  <c r="O52" i="1"/>
  <c r="O67" i="1"/>
  <c r="O43" i="1"/>
  <c r="O28" i="1"/>
  <c r="O48" i="1"/>
  <c r="O26" i="1"/>
  <c r="O64" i="1"/>
  <c r="O18" i="1"/>
  <c r="O29" i="1"/>
  <c r="O30" i="1"/>
  <c r="O5" i="1"/>
  <c r="O25" i="1"/>
  <c r="O63" i="1"/>
  <c r="O3" i="1"/>
  <c r="O66" i="1"/>
  <c r="O27" i="1"/>
  <c r="O42" i="1"/>
  <c r="O19" i="1"/>
  <c r="O53" i="1"/>
  <c r="O50" i="1"/>
</calcChain>
</file>

<file path=xl/sharedStrings.xml><?xml version="1.0" encoding="utf-8"?>
<sst xmlns="http://schemas.openxmlformats.org/spreadsheetml/2006/main" count="82" uniqueCount="82">
  <si>
    <t>Tuberculosis</t>
  </si>
  <si>
    <t>Malaria</t>
  </si>
  <si>
    <t>HIV</t>
  </si>
  <si>
    <t>S.pneumoniae</t>
  </si>
  <si>
    <t>HepB</t>
  </si>
  <si>
    <t>Rotavirus</t>
  </si>
  <si>
    <t>HepC</t>
  </si>
  <si>
    <t>Pertussis</t>
  </si>
  <si>
    <t>S.aureus</t>
  </si>
  <si>
    <t>Shigella</t>
  </si>
  <si>
    <t>Influenza</t>
  </si>
  <si>
    <t>Adenovirus</t>
  </si>
  <si>
    <t>K.pneumoniae</t>
  </si>
  <si>
    <t>Cryptosporidium</t>
  </si>
  <si>
    <t>Measles</t>
  </si>
  <si>
    <t>Typhoid fever</t>
  </si>
  <si>
    <t>RSV</t>
  </si>
  <si>
    <t>Norovirus</t>
  </si>
  <si>
    <t>Syphilis</t>
  </si>
  <si>
    <t>Scabies</t>
  </si>
  <si>
    <t>Campylobacter</t>
  </si>
  <si>
    <t>Cholera</t>
  </si>
  <si>
    <t>Acne vulgaris</t>
  </si>
  <si>
    <t>H.influenzae</t>
  </si>
  <si>
    <t>P.aeruginosa</t>
  </si>
  <si>
    <t>S.agalactiae</t>
  </si>
  <si>
    <t>Mycoplasma</t>
  </si>
  <si>
    <t>A.baumannii</t>
  </si>
  <si>
    <t>Entamoeba</t>
  </si>
  <si>
    <t>HepA</t>
  </si>
  <si>
    <t>N.meningitidis</t>
  </si>
  <si>
    <t>Dengue</t>
  </si>
  <si>
    <t>Tetanus</t>
  </si>
  <si>
    <t>Schistosomiasis</t>
  </si>
  <si>
    <t>Non-typhoidal Salmonella</t>
  </si>
  <si>
    <t>Lymphatic filariasis</t>
  </si>
  <si>
    <t>Legionella</t>
  </si>
  <si>
    <t>Paratyphoid fever</t>
  </si>
  <si>
    <t>Aeromonas</t>
  </si>
  <si>
    <t>Trematodiases</t>
  </si>
  <si>
    <t>Onchocerciasis</t>
  </si>
  <si>
    <t>Cysticercosis</t>
  </si>
  <si>
    <t>Enterobacter</t>
  </si>
  <si>
    <t>VZV</t>
  </si>
  <si>
    <t>L.monocytogenes</t>
  </si>
  <si>
    <t>Leishmaniasis</t>
  </si>
  <si>
    <t>Ascariasis</t>
  </si>
  <si>
    <t>Hookworm disease</t>
  </si>
  <si>
    <t>Rabies</t>
  </si>
  <si>
    <t>Diphtheria</t>
  </si>
  <si>
    <t>Yellow fever</t>
  </si>
  <si>
    <t>C.difficile</t>
  </si>
  <si>
    <t>HepE</t>
  </si>
  <si>
    <t>Trichomoniasis</t>
  </si>
  <si>
    <t>Chagas disease</t>
  </si>
  <si>
    <t>Genital herpes</t>
  </si>
  <si>
    <t>Trichuriasis</t>
  </si>
  <si>
    <t>Chlamydia</t>
  </si>
  <si>
    <t>Af trypanosomiasis</t>
  </si>
  <si>
    <t>Echinococcosis</t>
  </si>
  <si>
    <t>Gonorrhoea</t>
  </si>
  <si>
    <t>Leprosy</t>
  </si>
  <si>
    <t>Zika</t>
  </si>
  <si>
    <t>Ebola</t>
  </si>
  <si>
    <t>Guinea worm disease</t>
  </si>
  <si>
    <t>COVID-19</t>
  </si>
  <si>
    <t>E.coli</t>
  </si>
  <si>
    <t>disease name (input)</t>
  </si>
  <si>
    <t>Disease burden data (input),
DALY/mortality/incidence etc.</t>
  </si>
  <si>
    <t>Research effor data (input)
Publication counts, grant, project, drugs etc.</t>
  </si>
  <si>
    <t>Remove zero value from Col B</t>
  </si>
  <si>
    <t>Remove zero value from Col C</t>
  </si>
  <si>
    <t>Log tranformation of Col D</t>
  </si>
  <si>
    <t>Log tranformation of Col E</t>
  </si>
  <si>
    <t>Remove outlier from Col F</t>
  </si>
  <si>
    <t>Remove outlier from Col G</t>
  </si>
  <si>
    <t>Residual from 1st regression line</t>
  </si>
  <si>
    <t>Standardization of Col J</t>
  </si>
  <si>
    <t>Col H after exclusing outlier in Col K</t>
  </si>
  <si>
    <t>Col I after exclusing outlier in Col K</t>
  </si>
  <si>
    <t>Residual from 2nd regression line</t>
  </si>
  <si>
    <t>BARI 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</si>
</sst>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1" fillId="2" borderId="1" applyNumberFormat="0" applyAlignment="0" applyProtection="0"/>
  </cellStyleXfs>
  <cellXfs count="6">
    <xf numFmtId="0" fontId="0" fillId="0" borderId="0" xfId="0"/>
    <xf numFmtId="0" fontId="1" fillId="3" borderId="1" xfId="1" applyFill="1" applyAlignment="1">
      <alignment horizontal="center" textRotation="90" wrapText="1"/>
    </xf>
    <xf numFmtId="0" fontId="0" fillId="0" borderId="0" xfId="0" applyFont="1" applyFill="1"/>
    <xf numFmtId="0" fontId="0" fillId="0" borderId="0" xfId="0" applyAlignment="1">
      <alignment wrapText="1"/>
    </xf>
    <xf numFmtId="0" fontId="0" fillId="4" borderId="0" xfId="0" applyFill="1" applyAlignment="1">
      <alignment horizontal="center" textRotation="90" wrapText="1"/>
    </xf>
    <xf numFmtId="0" fontId="0" fillId="4" borderId="0" xfId="0" applyFill="1"/>
  </cellXfs>
  <cellStyles count="2">
    <cellStyle name="Input" xfId="1" builtinId="20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googledrive\Lab\Project\tamaki_BARI\BARI_tamaki_sheets_4.3.xlsx" TargetMode="External"/><Relationship Id="rId1" Type="http://schemas.openxmlformats.org/officeDocument/2006/relationships/externalLinkPath" Target="BARI_tamaki_sheets_4.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20162023R"/>
      <sheetName val="supp1"/>
      <sheetName val="BARI_each"/>
      <sheetName val="globalShift"/>
      <sheetName val="globalShift_temp"/>
      <sheetName val="ntdList"/>
      <sheetName val="202223global"/>
      <sheetName val="202021global"/>
      <sheetName val="201819global"/>
      <sheetName val="201617global"/>
      <sheetName val="201623global"/>
      <sheetName val="2023each"/>
      <sheetName val="2022each"/>
      <sheetName val="2021each"/>
      <sheetName val="2020each"/>
      <sheetName val="2019each"/>
      <sheetName val="2018each"/>
      <sheetName val="2017each"/>
      <sheetName val="2016each"/>
      <sheetName val="pubmed_result"/>
      <sheetName val="pubmed_que"/>
      <sheetName val="category_mergeDALY"/>
      <sheetName val="category_check"/>
      <sheetName val="cause"/>
      <sheetName val="eti"/>
      <sheetName val="countri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4">
          <cell r="L4">
            <v>4340</v>
          </cell>
        </row>
        <row r="5">
          <cell r="L5">
            <v>2319</v>
          </cell>
        </row>
        <row r="6">
          <cell r="L6">
            <v>9537</v>
          </cell>
        </row>
        <row r="7">
          <cell r="L7">
            <v>486</v>
          </cell>
        </row>
        <row r="8">
          <cell r="L8">
            <v>1813</v>
          </cell>
        </row>
        <row r="9">
          <cell r="L9">
            <v>268</v>
          </cell>
        </row>
        <row r="10">
          <cell r="L10">
            <v>1527</v>
          </cell>
        </row>
        <row r="11">
          <cell r="L11">
            <v>214</v>
          </cell>
        </row>
        <row r="12">
          <cell r="L12">
            <v>3017</v>
          </cell>
        </row>
        <row r="13">
          <cell r="L13">
            <v>153</v>
          </cell>
        </row>
        <row r="14">
          <cell r="L14">
            <v>2852</v>
          </cell>
        </row>
        <row r="15">
          <cell r="L15">
            <v>129</v>
          </cell>
        </row>
        <row r="16">
          <cell r="L16">
            <v>610</v>
          </cell>
        </row>
        <row r="17">
          <cell r="L17">
            <v>286</v>
          </cell>
        </row>
        <row r="18">
          <cell r="L18">
            <v>289</v>
          </cell>
        </row>
        <row r="19">
          <cell r="L19">
            <v>175</v>
          </cell>
        </row>
        <row r="20">
          <cell r="L20">
            <v>741</v>
          </cell>
        </row>
        <row r="22">
          <cell r="L22">
            <v>271</v>
          </cell>
        </row>
        <row r="23">
          <cell r="L23">
            <v>585</v>
          </cell>
        </row>
        <row r="26">
          <cell r="L26">
            <v>134</v>
          </cell>
        </row>
        <row r="27">
          <cell r="L27">
            <v>256</v>
          </cell>
        </row>
        <row r="28">
          <cell r="L28">
            <v>296</v>
          </cell>
        </row>
        <row r="29">
          <cell r="L29">
            <v>540</v>
          </cell>
        </row>
        <row r="30">
          <cell r="L30">
            <v>84</v>
          </cell>
        </row>
        <row r="31">
          <cell r="L31">
            <v>846</v>
          </cell>
        </row>
        <row r="32">
          <cell r="L32">
            <v>37</v>
          </cell>
        </row>
        <row r="33">
          <cell r="L33">
            <v>278</v>
          </cell>
        </row>
        <row r="34">
          <cell r="L34">
            <v>516</v>
          </cell>
        </row>
        <row r="35">
          <cell r="L35">
            <v>51</v>
          </cell>
        </row>
        <row r="36">
          <cell r="L36">
            <v>206</v>
          </cell>
        </row>
        <row r="37">
          <cell r="L37">
            <v>180</v>
          </cell>
        </row>
        <row r="38">
          <cell r="L38">
            <v>925</v>
          </cell>
        </row>
        <row r="39">
          <cell r="L39">
            <v>173</v>
          </cell>
        </row>
        <row r="40">
          <cell r="L40">
            <v>367</v>
          </cell>
        </row>
        <row r="41">
          <cell r="L41">
            <v>220</v>
          </cell>
        </row>
        <row r="42">
          <cell r="L42">
            <v>77</v>
          </cell>
        </row>
        <row r="43">
          <cell r="L43">
            <v>176</v>
          </cell>
        </row>
        <row r="44">
          <cell r="L44">
            <v>14</v>
          </cell>
        </row>
        <row r="45">
          <cell r="L45">
            <v>130</v>
          </cell>
        </row>
        <row r="46">
          <cell r="L46">
            <v>185</v>
          </cell>
        </row>
        <row r="47">
          <cell r="L47">
            <v>71</v>
          </cell>
        </row>
        <row r="48">
          <cell r="L48">
            <v>103</v>
          </cell>
        </row>
        <row r="49">
          <cell r="L49">
            <v>66</v>
          </cell>
        </row>
        <row r="50">
          <cell r="L50">
            <v>563</v>
          </cell>
        </row>
        <row r="51">
          <cell r="L51">
            <v>403</v>
          </cell>
        </row>
        <row r="52">
          <cell r="L52">
            <v>861</v>
          </cell>
        </row>
        <row r="53">
          <cell r="L53">
            <v>24</v>
          </cell>
        </row>
        <row r="54">
          <cell r="L54">
            <v>42</v>
          </cell>
        </row>
        <row r="55">
          <cell r="L55">
            <v>265</v>
          </cell>
        </row>
        <row r="56">
          <cell r="L56">
            <v>115</v>
          </cell>
        </row>
        <row r="57">
          <cell r="L57">
            <v>99</v>
          </cell>
        </row>
        <row r="58">
          <cell r="L58">
            <v>525</v>
          </cell>
        </row>
        <row r="59">
          <cell r="L59">
            <v>248</v>
          </cell>
        </row>
        <row r="60">
          <cell r="L60">
            <v>123</v>
          </cell>
        </row>
        <row r="61">
          <cell r="L61">
            <v>464</v>
          </cell>
        </row>
        <row r="62">
          <cell r="L62">
            <v>65</v>
          </cell>
        </row>
        <row r="63">
          <cell r="L63">
            <v>17</v>
          </cell>
        </row>
        <row r="64">
          <cell r="L64">
            <v>465</v>
          </cell>
        </row>
        <row r="65">
          <cell r="L65">
            <v>201</v>
          </cell>
        </row>
        <row r="66">
          <cell r="L66">
            <v>369</v>
          </cell>
        </row>
        <row r="67">
          <cell r="L67">
            <v>402</v>
          </cell>
        </row>
        <row r="68">
          <cell r="L68">
            <v>223</v>
          </cell>
        </row>
        <row r="69">
          <cell r="L69">
            <v>743</v>
          </cell>
        </row>
        <row r="70">
          <cell r="L70">
            <v>274</v>
          </cell>
        </row>
        <row r="71">
          <cell r="L71">
            <v>5</v>
          </cell>
        </row>
        <row r="72">
          <cell r="L72">
            <v>54233</v>
          </cell>
        </row>
        <row r="73">
          <cell r="L73">
            <v>2985</v>
          </cell>
        </row>
      </sheetData>
      <sheetData sheetId="20"/>
      <sheetData sheetId="21">
        <row r="3">
          <cell r="P3">
            <v>43614729.012965344</v>
          </cell>
        </row>
        <row r="4">
          <cell r="P4">
            <v>51578852.399788797</v>
          </cell>
        </row>
        <row r="5">
          <cell r="P5">
            <v>45109790.072058685</v>
          </cell>
        </row>
        <row r="6">
          <cell r="P6">
            <v>31438207.682155501</v>
          </cell>
        </row>
        <row r="7">
          <cell r="P7">
            <v>21630866.063260701</v>
          </cell>
        </row>
        <row r="8">
          <cell r="P8">
            <v>14047447.9510221</v>
          </cell>
        </row>
        <row r="9">
          <cell r="P9">
            <v>14722869.6920656</v>
          </cell>
        </row>
        <row r="10">
          <cell r="P10">
            <v>10130780.4622577</v>
          </cell>
        </row>
        <row r="11">
          <cell r="P11">
            <v>8132041.3907034798</v>
          </cell>
        </row>
        <row r="12">
          <cell r="P12">
            <v>8677912.8402969502</v>
          </cell>
        </row>
        <row r="13">
          <cell r="P13">
            <v>4883726.3976478605</v>
          </cell>
        </row>
        <row r="14">
          <cell r="P14">
            <v>7659645.2642108398</v>
          </cell>
        </row>
        <row r="15">
          <cell r="P15">
            <v>11383652.617514299</v>
          </cell>
        </row>
        <row r="16">
          <cell r="P16">
            <v>4652135.8266919795</v>
          </cell>
        </row>
        <row r="17">
          <cell r="P17">
            <v>12478557.9491187</v>
          </cell>
        </row>
        <row r="18">
          <cell r="P18">
            <v>5412666.5563267898</v>
          </cell>
        </row>
        <row r="19">
          <cell r="P19">
            <v>2766192.2777527198</v>
          </cell>
        </row>
        <row r="21">
          <cell r="P21">
            <v>4990406.5640745703</v>
          </cell>
        </row>
        <row r="22">
          <cell r="P22">
            <v>6832255.8042343296</v>
          </cell>
        </row>
        <row r="25">
          <cell r="P25">
            <v>3198461.5335689099</v>
          </cell>
        </row>
        <row r="26">
          <cell r="P26">
            <v>3275037.1901903301</v>
          </cell>
        </row>
        <row r="27">
          <cell r="P27">
            <v>3883373.9891910502</v>
          </cell>
        </row>
        <row r="28">
          <cell r="P28">
            <v>1171716.6307340099</v>
          </cell>
        </row>
        <row r="29">
          <cell r="P29">
            <v>2833056.67492287</v>
          </cell>
        </row>
        <row r="30">
          <cell r="P30">
            <v>7681302.6516228402</v>
          </cell>
        </row>
        <row r="31">
          <cell r="P31">
            <v>2526741.3046229901</v>
          </cell>
        </row>
        <row r="32">
          <cell r="P32">
            <v>3433998.9358164701</v>
          </cell>
        </row>
        <row r="33">
          <cell r="P33">
            <v>2473934.7422405598</v>
          </cell>
        </row>
        <row r="34">
          <cell r="P34">
            <v>2375136.0864669401</v>
          </cell>
        </row>
        <row r="35">
          <cell r="P35">
            <v>2333982.7624169202</v>
          </cell>
        </row>
        <row r="36">
          <cell r="P36">
            <v>2425167.6711424598</v>
          </cell>
        </row>
        <row r="37">
          <cell r="P37">
            <v>3015759.8152418998</v>
          </cell>
        </row>
        <row r="38">
          <cell r="P38">
            <v>1243094.5357606399</v>
          </cell>
        </row>
        <row r="39">
          <cell r="P39">
            <v>2071356.9604352</v>
          </cell>
        </row>
        <row r="40">
          <cell r="P40">
            <v>1696470.7920514699</v>
          </cell>
        </row>
        <row r="41">
          <cell r="P41">
            <v>1494521.2999635199</v>
          </cell>
        </row>
        <row r="42">
          <cell r="P42">
            <v>744519.72164209804</v>
          </cell>
        </row>
        <row r="43">
          <cell r="P43">
            <v>806140.88951288699</v>
          </cell>
        </row>
        <row r="44">
          <cell r="P44">
            <v>1120314.8074965901</v>
          </cell>
        </row>
        <row r="45">
          <cell r="P45">
            <v>1036239.91308116</v>
          </cell>
        </row>
        <row r="46">
          <cell r="P46">
            <v>871956.86007010704</v>
          </cell>
        </row>
        <row r="47">
          <cell r="P47">
            <v>1182777.93662054</v>
          </cell>
        </row>
        <row r="48">
          <cell r="P48">
            <v>705282.21401587198</v>
          </cell>
        </row>
        <row r="49">
          <cell r="P49">
            <v>827572.38741937</v>
          </cell>
        </row>
        <row r="50">
          <cell r="P50">
            <v>752192.82920007303</v>
          </cell>
        </row>
        <row r="51">
          <cell r="P51">
            <v>1086887.3338459141</v>
          </cell>
        </row>
        <row r="52">
          <cell r="P52">
            <v>803044.27386992495</v>
          </cell>
        </row>
        <row r="53">
          <cell r="P53">
            <v>455012.90731285798</v>
          </cell>
        </row>
        <row r="54">
          <cell r="P54">
            <v>870953.93122314604</v>
          </cell>
        </row>
        <row r="55">
          <cell r="P55">
            <v>329860.67283039697</v>
          </cell>
        </row>
        <row r="56">
          <cell r="P56">
            <v>310079.99707671499</v>
          </cell>
        </row>
        <row r="57">
          <cell r="P57">
            <v>312986.96595206199</v>
          </cell>
        </row>
        <row r="58">
          <cell r="P58">
            <v>352938.36167501198</v>
          </cell>
        </row>
        <row r="59">
          <cell r="P59">
            <v>238236.84079004001</v>
          </cell>
        </row>
        <row r="60">
          <cell r="P60">
            <v>285360.590004161</v>
          </cell>
        </row>
        <row r="61">
          <cell r="P61">
            <v>216872.337123871</v>
          </cell>
        </row>
        <row r="62">
          <cell r="P62">
            <v>281951.659304826</v>
          </cell>
        </row>
        <row r="63">
          <cell r="P63">
            <v>183969.659036325</v>
          </cell>
        </row>
        <row r="64">
          <cell r="P64">
            <v>85100.824285089097</v>
          </cell>
        </row>
        <row r="65">
          <cell r="P65">
            <v>97010.116671247306</v>
          </cell>
        </row>
        <row r="66">
          <cell r="P66">
            <v>78226.365892355301</v>
          </cell>
        </row>
        <row r="67">
          <cell r="P67">
            <v>18571.552795029202</v>
          </cell>
        </row>
        <row r="68">
          <cell r="P68">
            <v>104.33609515365001</v>
          </cell>
        </row>
        <row r="69">
          <cell r="P69">
            <v>3.51541655447472</v>
          </cell>
        </row>
        <row r="70">
          <cell r="P70">
            <v>0.23379069919957299</v>
          </cell>
        </row>
        <row r="71">
          <cell r="P71">
            <v>31382292.754248101</v>
          </cell>
        </row>
        <row r="72">
          <cell r="P72">
            <v>14274203.329049511</v>
          </cell>
        </row>
      </sheetData>
      <sheetData sheetId="22"/>
      <sheetData sheetId="23"/>
      <sheetData sheetId="24"/>
      <sheetData sheetId="2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AB774-A274-4C7A-A613-E29538348A59}">
  <dimension ref="A1:O68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4.5" x14ac:dyDescent="0.35"/>
  <cols>
    <col min="1" max="1" width="24.6328125" style="2" customWidth="1"/>
    <col min="2" max="3" width="24.6328125" customWidth="1"/>
  </cols>
  <sheetData>
    <row r="1" spans="1:15" ht="166.5" customHeight="1" x14ac:dyDescent="0.35">
      <c r="A1" s="2" t="s">
        <v>67</v>
      </c>
      <c r="B1" s="3" t="s">
        <v>68</v>
      </c>
      <c r="C1" s="3" t="s">
        <v>69</v>
      </c>
      <c r="D1" s="4" t="s">
        <v>70</v>
      </c>
      <c r="E1" s="4" t="s">
        <v>71</v>
      </c>
      <c r="F1" s="4" t="s">
        <v>72</v>
      </c>
      <c r="G1" s="4" t="s">
        <v>73</v>
      </c>
      <c r="H1" s="4" t="s">
        <v>74</v>
      </c>
      <c r="I1" s="4" t="s">
        <v>75</v>
      </c>
      <c r="J1" s="4" t="s">
        <v>76</v>
      </c>
      <c r="K1" s="4" t="s">
        <v>77</v>
      </c>
      <c r="L1" s="4" t="s">
        <v>78</v>
      </c>
      <c r="M1" s="4" t="s">
        <v>79</v>
      </c>
      <c r="N1" s="4" t="s">
        <v>80</v>
      </c>
      <c r="O1" s="1" t="s">
        <v>81</v>
      </c>
    </row>
    <row r="2" spans="1:15" x14ac:dyDescent="0.35">
      <c r="A2" s="2" t="s">
        <v>27</v>
      </c>
      <c r="B2">
        <f>SUM([1]category_mergeDALY!P33)</f>
        <v>2473934.7422405598</v>
      </c>
      <c r="C2">
        <f>SUM([1]pubmed_result!L34)</f>
        <v>516</v>
      </c>
      <c r="D2" s="5">
        <f>IF(OR(B2=0,C2=0),"",B2)</f>
        <v>2473934.7422405598</v>
      </c>
      <c r="E2" s="5">
        <f>IF(OR(B2=0,C2=0),"",C2)</f>
        <v>516</v>
      </c>
      <c r="F2" s="5">
        <f>IF(D2="","",LOG10(D2))</f>
        <v>6.3933882395701369</v>
      </c>
      <c r="G2" s="5">
        <f>IF(E2="","",LOG10(E2))</f>
        <v>2.7126497016272113</v>
      </c>
      <c r="H2" s="5">
        <f>IF(OR(F2="",G2=""),"",IF(OR(ABS(F2-AVERAGE(F$2:F$68))&gt;_xlfn.STDEV.S(F$2:F$68)*2,ABS(G2-AVERAGE(G$2:G$68))&gt;_xlfn.STDEV.S(G$2:G$68)*2),"",F2))</f>
        <v>6.3933882395701369</v>
      </c>
      <c r="I2" s="5">
        <f>IF(OR(F2="",G2=""),"",IF(OR(ABS(F2-AVERAGE(F$2:F$68))&gt;_xlfn.STDEV.S(F$2:F$68)*2,ABS(G2-AVERAGE(G$2:G$68))&gt;_xlfn.STDEV.S(G$2:G$68)*2),"",G2))</f>
        <v>2.7126497016272113</v>
      </c>
      <c r="J2" s="5">
        <f>IF(OR(H2="",I2=""),"", (I2-(SLOPE(I$2:I$68,H$2:H$68)*H2+INTERCEPT(I$2:I$68,H$2:H$68))))</f>
        <v>0.24709605495888942</v>
      </c>
      <c r="K2" s="5">
        <f>IF(J2="","", J2/_xlfn.STDEV.S(J$2:J$68))</f>
        <v>0.51517656154993241</v>
      </c>
      <c r="L2" s="5">
        <f>IF(OR(K2&lt;-2,K2&gt;2),"",H2)</f>
        <v>6.3933882395701369</v>
      </c>
      <c r="M2" s="5">
        <f>IF(OR(K2&lt;-2,K2&gt;2),"",I2)</f>
        <v>2.7126497016272113</v>
      </c>
      <c r="N2" s="5">
        <f>IF(OR(M2="",L2=""),"", (M2-(SLOPE(M$2:M$68,L$2:L$68)*L2+INTERCEPT(M$2:M$68,L$2:L$68))))</f>
        <v>0.22995527829159146</v>
      </c>
      <c r="O2">
        <f>IF(AND(C2=0,B2=0),0,IF(AND(B2&gt;0,C2=0),-4.9,IF(AND(B2=0,C2&gt;0),4.9,(G2-(SLOPE(M$2:M$68,L$2:L$68)*F2+INTERCEPT(M$2:M$68,L$2:L$68)))/_xlfn.STDEV.S(N$2:N$68))))</f>
        <v>0.50036648525023775</v>
      </c>
    </row>
    <row r="3" spans="1:15" x14ac:dyDescent="0.35">
      <c r="A3" s="2" t="s">
        <v>22</v>
      </c>
      <c r="B3">
        <f>SUM([1]category_mergeDALY!P28)</f>
        <v>1171716.6307340099</v>
      </c>
      <c r="C3">
        <f>SUM([1]pubmed_result!L29)</f>
        <v>540</v>
      </c>
      <c r="D3" s="5">
        <f>IF(OR(B3=0,C3=0),"",B3)</f>
        <v>1171716.6307340099</v>
      </c>
      <c r="E3" s="5">
        <f>IF(OR(B3=0,C3=0),"",C3)</f>
        <v>540</v>
      </c>
      <c r="F3" s="5">
        <f>IF(D3="","",LOG10(D3))</f>
        <v>6.068822594115062</v>
      </c>
      <c r="G3" s="5">
        <f>IF(E3="","",LOG10(E3))</f>
        <v>2.7323937598229686</v>
      </c>
      <c r="H3" s="5">
        <f>IF(OR(F3="",G3=""),"",IF(OR(ABS(F3-AVERAGE(F$2:F$68))&gt;_xlfn.STDEV.S(F$2:F$68)*2,ABS(G3-AVERAGE(G$2:G$68))&gt;_xlfn.STDEV.S(G$2:G$68)*2),"",F3))</f>
        <v>6.068822594115062</v>
      </c>
      <c r="I3" s="5">
        <f>IF(OR(F3="",G3=""),"",IF(OR(ABS(F3-AVERAGE(F$2:F$68))&gt;_xlfn.STDEV.S(F$2:F$68)*2,ABS(G3-AVERAGE(G$2:G$68))&gt;_xlfn.STDEV.S(G$2:G$68)*2),"",G3))</f>
        <v>2.7323937598229686</v>
      </c>
      <c r="J3" s="5">
        <f>IF(OR(H3="",I3=""),"", (I3-(SLOPE(I$2:I$68,H$2:H$68)*H3+INTERCEPT(I$2:I$68,H$2:H$68))))</f>
        <v>0.37659731521717399</v>
      </c>
      <c r="K3" s="5">
        <f>IF(J3="","", J3/_xlfn.STDEV.S(J$2:J$68))</f>
        <v>0.78517688181949652</v>
      </c>
      <c r="L3" s="5">
        <f>IF(OR(K3&lt;-2,K3&gt;2),"",H3)</f>
        <v>6.068822594115062</v>
      </c>
      <c r="M3" s="5">
        <f>IF(OR(K3&lt;-2,K3&gt;2),"",I3)</f>
        <v>2.7323937598229686</v>
      </c>
      <c r="N3" s="5">
        <f>IF(OR(M3="",L3=""),"", (M3-(SLOPE(M$2:M$68,L$2:L$68)*L3+INTERCEPT(M$2:M$68,L$2:L$68))))</f>
        <v>0.35527324099246593</v>
      </c>
      <c r="O3">
        <f>IF(AND(C3=0,B3=0),0,IF(AND(B3&gt;0,C3=0),-4.9,IF(AND(B3=0,C3&gt;0),4.9,(G3-(SLOPE(M$2:M$68,L$2:L$68)*F3+INTERCEPT(M$2:M$68,L$2:L$68)))/_xlfn.STDEV.S(N$2:N$68))))</f>
        <v>0.77304954345708132</v>
      </c>
    </row>
    <row r="4" spans="1:15" x14ac:dyDescent="0.35">
      <c r="A4" s="2" t="s">
        <v>11</v>
      </c>
      <c r="B4">
        <f>SUM([1]category_mergeDALY!P14)</f>
        <v>7659645.2642108398</v>
      </c>
      <c r="C4">
        <f>SUM([1]pubmed_result!L15)</f>
        <v>129</v>
      </c>
      <c r="D4" s="5">
        <f>IF(OR(B4=0,C4=0),"",B4)</f>
        <v>7659645.2642108398</v>
      </c>
      <c r="E4" s="5">
        <f>IF(OR(B4=0,C4=0),"",C4)</f>
        <v>129</v>
      </c>
      <c r="F4" s="5">
        <f>IF(D4="","",LOG10(D4))</f>
        <v>6.8842086569220111</v>
      </c>
      <c r="G4" s="5">
        <f>IF(E4="","",LOG10(E4))</f>
        <v>2.1105897102992488</v>
      </c>
      <c r="H4" s="5">
        <f>IF(OR(F4="",G4=""),"",IF(OR(ABS(F4-AVERAGE(F$2:F$68))&gt;_xlfn.STDEV.S(F$2:F$68)*2,ABS(G4-AVERAGE(G$2:G$68))&gt;_xlfn.STDEV.S(G$2:G$68)*2),"",F4))</f>
        <v>6.8842086569220111</v>
      </c>
      <c r="I4" s="5">
        <f>IF(OR(F4="",G4=""),"",IF(OR(ABS(F4-AVERAGE(F$2:F$68))&gt;_xlfn.STDEV.S(F$2:F$68)*2,ABS(G4-AVERAGE(G$2:G$68))&gt;_xlfn.STDEV.S(G$2:G$68)*2),"",G4))</f>
        <v>2.1105897102992488</v>
      </c>
      <c r="J4" s="5">
        <f>IF(OR(H4="",I4=""),"", (I4-(SLOPE(I$2:I$68,H$2:H$68)*H4+INTERCEPT(I$2:I$68,H$2:H$68))))</f>
        <v>-0.52094291928998837</v>
      </c>
      <c r="K4" s="5">
        <f>IF(J4="","", J4/_xlfn.STDEV.S(J$2:J$68))</f>
        <v>-1.0861265347528575</v>
      </c>
      <c r="L4" s="5">
        <f>IF(OR(K4&lt;-2,K4&gt;2),"",H4)</f>
        <v>6.8842086569220111</v>
      </c>
      <c r="M4" s="5">
        <f>IF(OR(K4&lt;-2,K4&gt;2),"",I4)</f>
        <v>2.1105897102992488</v>
      </c>
      <c r="N4" s="5">
        <f>IF(OR(M4="",L4=""),"", (M4-(SLOPE(M$2:M$68,L$2:L$68)*L4+INTERCEPT(M$2:M$68,L$2:L$68))))</f>
        <v>-0.53175755552379655</v>
      </c>
      <c r="O4">
        <f>IF(AND(C4=0,B4=0),0,IF(AND(B4&gt;0,C4=0),-4.9,IF(AND(B4=0,C4&gt;0),4.9,(G4-(SLOPE(M$2:M$68,L$2:L$68)*F4+INTERCEPT(M$2:M$68,L$2:L$68)))/_xlfn.STDEV.S(N$2:N$68))))</f>
        <v>-1.1570669785857639</v>
      </c>
    </row>
    <row r="5" spans="1:15" x14ac:dyDescent="0.35">
      <c r="A5" s="2" t="s">
        <v>38</v>
      </c>
      <c r="B5">
        <f>SUM([1]category_mergeDALY!P44)</f>
        <v>1120314.8074965901</v>
      </c>
      <c r="C5">
        <f>SUM([1]pubmed_result!L45)</f>
        <v>130</v>
      </c>
      <c r="D5" s="5">
        <f>IF(OR(B5=0,C5=0),"",B5)</f>
        <v>1120314.8074965901</v>
      </c>
      <c r="E5" s="5">
        <f>IF(OR(B5=0,C5=0),"",C5)</f>
        <v>130</v>
      </c>
      <c r="F5" s="5">
        <f>IF(D5="","",LOG10(D5))</f>
        <v>6.0493400761950467</v>
      </c>
      <c r="G5" s="5">
        <f>IF(E5="","",LOG10(E5))</f>
        <v>2.1139433523068369</v>
      </c>
      <c r="H5" s="5">
        <f>IF(OR(F5="",G5=""),"",IF(OR(ABS(F5-AVERAGE(F$2:F$68))&gt;_xlfn.STDEV.S(F$2:F$68)*2,ABS(G5-AVERAGE(G$2:G$68))&gt;_xlfn.STDEV.S(G$2:G$68)*2),"",F5))</f>
        <v>6.0493400761950467</v>
      </c>
      <c r="I5" s="5">
        <f>IF(OR(F5="",G5=""),"",IF(OR(ABS(F5-AVERAGE(F$2:F$68))&gt;_xlfn.STDEV.S(F$2:F$68)*2,ABS(G5-AVERAGE(G$2:G$68))&gt;_xlfn.STDEV.S(G$2:G$68)*2),"",G5))</f>
        <v>2.1139433523068369</v>
      </c>
      <c r="J5" s="5">
        <f>IF(OR(H5="",I5=""),"", (I5-(SLOPE(I$2:I$68,H$2:H$68)*H5+INTERCEPT(I$2:I$68,H$2:H$68))))</f>
        <v>-0.23526475898032873</v>
      </c>
      <c r="K5" s="5">
        <f>IF(J5="","", J5/_xlfn.STDEV.S(J$2:J$68))</f>
        <v>-0.49050920544046916</v>
      </c>
      <c r="L5" s="5">
        <f>IF(OR(K5&lt;-2,K5&gt;2),"",H5)</f>
        <v>6.0493400761950467</v>
      </c>
      <c r="M5" s="5">
        <f>IF(OR(K5&lt;-2,K5&gt;2),"",I5)</f>
        <v>2.1139433523068369</v>
      </c>
      <c r="N5" s="5">
        <f>IF(OR(M5="",L5=""),"", (M5-(SLOPE(M$2:M$68,L$2:L$68)*L5+INTERCEPT(M$2:M$68,L$2:L$68))))</f>
        <v>-0.25683994163492851</v>
      </c>
      <c r="O5">
        <f>IF(AND(C5=0,B5=0),0,IF(AND(B5&gt;0,C5=0),-4.9,IF(AND(B5=0,C5&gt;0),4.9,(G5-(SLOPE(M$2:M$68,L$2:L$68)*F5+INTERCEPT(M$2:M$68,L$2:L$68)))/_xlfn.STDEV.S(N$2:N$68))))</f>
        <v>-0.55886561866514295</v>
      </c>
    </row>
    <row r="6" spans="1:15" x14ac:dyDescent="0.35">
      <c r="A6" s="2" t="s">
        <v>58</v>
      </c>
      <c r="B6">
        <f>SUM([1]category_mergeDALY!P64)</f>
        <v>85100.824285089097</v>
      </c>
      <c r="C6">
        <f>SUM([1]pubmed_result!L65)</f>
        <v>201</v>
      </c>
      <c r="D6" s="5">
        <f>IF(OR(B6=0,C6=0),"",B6)</f>
        <v>85100.824285089097</v>
      </c>
      <c r="E6" s="5">
        <f>IF(OR(B6=0,C6=0),"",C6)</f>
        <v>201</v>
      </c>
      <c r="F6" s="5">
        <f>IF(D6="","",LOG10(D6))</f>
        <v>4.9299337666736829</v>
      </c>
      <c r="G6" s="5">
        <f>IF(E6="","",LOG10(E6))</f>
        <v>2.3031960574204891</v>
      </c>
      <c r="H6" s="5">
        <f>IF(OR(F6="",G6=""),"",IF(OR(ABS(F6-AVERAGE(F$2:F$68))&gt;_xlfn.STDEV.S(F$2:F$68)*2,ABS(G6-AVERAGE(G$2:G$68))&gt;_xlfn.STDEV.S(G$2:G$68)*2),"",F6))</f>
        <v>4.9299337666736829</v>
      </c>
      <c r="I6" s="5">
        <f>IF(OR(F6="",G6=""),"",IF(OR(ABS(F6-AVERAGE(F$2:F$68))&gt;_xlfn.STDEV.S(F$2:F$68)*2,ABS(G6-AVERAGE(G$2:G$68))&gt;_xlfn.STDEV.S(G$2:G$68)*2),"",G6))</f>
        <v>2.3031960574204891</v>
      </c>
      <c r="J6" s="5">
        <f>IF(OR(H6="",I6=""),"", (I6-(SLOPE(I$2:I$68,H$2:H$68)*H6+INTERCEPT(I$2:I$68,H$2:H$68))))</f>
        <v>0.33253356925969513</v>
      </c>
      <c r="K6" s="5">
        <f>IF(J6="","", J6/_xlfn.STDEV.S(J$2:J$68))</f>
        <v>0.69330730852679257</v>
      </c>
      <c r="L6" s="5">
        <f>IF(OR(K6&lt;-2,K6&gt;2),"",H6)</f>
        <v>4.9299337666736829</v>
      </c>
      <c r="M6" s="5">
        <f>IF(OR(K6&lt;-2,K6&gt;2),"",I6)</f>
        <v>2.3031960574204891</v>
      </c>
      <c r="N6" s="5">
        <f>IF(OR(M6="",L6=""),"", (M6-(SLOPE(M$2:M$68,L$2:L$68)*L6+INTERCEPT(M$2:M$68,L$2:L$68))))</f>
        <v>0.29653045886245311</v>
      </c>
      <c r="O6">
        <f>IF(AND(C6=0,B6=0),0,IF(AND(B6&gt;0,C6=0),-4.9,IF(AND(B6=0,C6&gt;0),4.9,(G6-(SLOPE(M$2:M$68,L$2:L$68)*F6+INTERCEPT(M$2:M$68,L$2:L$68)))/_xlfn.STDEV.S(N$2:N$68))))</f>
        <v>0.6452293879616996</v>
      </c>
    </row>
    <row r="7" spans="1:15" x14ac:dyDescent="0.35">
      <c r="A7" s="2" t="s">
        <v>46</v>
      </c>
      <c r="B7">
        <f>SUM([1]category_mergeDALY!P52)</f>
        <v>803044.27386992495</v>
      </c>
      <c r="C7">
        <f>SUM([1]pubmed_result!L53)</f>
        <v>24</v>
      </c>
      <c r="D7" s="5">
        <f>IF(OR(B7=0,C7=0),"",B7)</f>
        <v>803044.27386992495</v>
      </c>
      <c r="E7" s="5">
        <f>IF(OR(B7=0,C7=0),"",C7)</f>
        <v>24</v>
      </c>
      <c r="F7" s="5">
        <f>IF(D7="","",LOG10(D7))</f>
        <v>5.9047394896963024</v>
      </c>
      <c r="G7" s="5">
        <f>IF(E7="","",LOG10(E7))</f>
        <v>1.3802112417116059</v>
      </c>
      <c r="H7" s="5">
        <f>IF(OR(F7="",G7=""),"",IF(OR(ABS(F7-AVERAGE(F$2:F$68))&gt;_xlfn.STDEV.S(F$2:F$68)*2,ABS(G7-AVERAGE(G$2:G$68))&gt;_xlfn.STDEV.S(G$2:G$68)*2),"",F7))</f>
        <v>5.9047394896963024</v>
      </c>
      <c r="I7" s="5">
        <f>IF(OR(F7="",G7=""),"",IF(OR(ABS(F7-AVERAGE(F$2:F$68))&gt;_xlfn.STDEV.S(F$2:F$68)*2,ABS(G7-AVERAGE(G$2:G$68))&gt;_xlfn.STDEV.S(G$2:G$68)*2),"",G7))</f>
        <v>1.3802112417116059</v>
      </c>
      <c r="J7" s="5">
        <f>IF(OR(H7="",I7=""),"", (I7-(SLOPE(I$2:I$68,H$2:H$68)*H7+INTERCEPT(I$2:I$68,H$2:H$68))))</f>
        <v>-0.92009780705016553</v>
      </c>
      <c r="K7" s="5">
        <f>IF(J7="","", J7/_xlfn.STDEV.S(J$2:J$68))</f>
        <v>-1.9183342469979996</v>
      </c>
      <c r="L7" s="5">
        <f>IF(OR(K7&lt;-2,K7&gt;2),"",H7)</f>
        <v>5.9047394896963024</v>
      </c>
      <c r="M7" s="5">
        <f>IF(OR(K7&lt;-2,K7&gt;2),"",I7)</f>
        <v>1.3802112417116059</v>
      </c>
      <c r="N7" s="5">
        <f>IF(OR(M7="",L7=""),"", (M7-(SLOPE(M$2:M$68,L$2:L$68)*L7+INTERCEPT(M$2:M$68,L$2:L$68))))</f>
        <v>-0.94353673372318125</v>
      </c>
      <c r="O7">
        <f>IF(AND(C7=0,B7=0),0,IF(AND(B7&gt;0,C7=0),-4.9,IF(AND(B7=0,C7&gt;0),4.9,(G7-(SLOPE(M$2:M$68,L$2:L$68)*F7+INTERCEPT(M$2:M$68,L$2:L$68)))/_xlfn.STDEV.S(N$2:N$68))))</f>
        <v>-2.0530694605709385</v>
      </c>
    </row>
    <row r="8" spans="1:15" x14ac:dyDescent="0.35">
      <c r="A8" s="2" t="s">
        <v>51</v>
      </c>
      <c r="B8">
        <f>SUM([1]category_mergeDALY!P57)</f>
        <v>312986.96595206199</v>
      </c>
      <c r="C8">
        <f>SUM([1]pubmed_result!L58)</f>
        <v>525</v>
      </c>
      <c r="D8" s="5">
        <f>IF(OR(B8=0,C8=0),"",B8)</f>
        <v>312986.96595206199</v>
      </c>
      <c r="E8" s="5">
        <f>IF(OR(B8=0,C8=0),"",C8)</f>
        <v>525</v>
      </c>
      <c r="F8" s="5">
        <f>IF(D8="","",LOG10(D8))</f>
        <v>5.4955262521376298</v>
      </c>
      <c r="G8" s="5">
        <f>IF(E8="","",LOG10(E8))</f>
        <v>2.720159303405957</v>
      </c>
      <c r="H8" s="5">
        <f>IF(OR(F8="",G8=""),"",IF(OR(ABS(F8-AVERAGE(F$2:F$68))&gt;_xlfn.STDEV.S(F$2:F$68)*2,ABS(G8-AVERAGE(G$2:G$68))&gt;_xlfn.STDEV.S(G$2:G$68)*2),"",F8))</f>
        <v>5.4955262521376298</v>
      </c>
      <c r="I8" s="5">
        <f>IF(OR(F8="",G8=""),"",IF(OR(ABS(F8-AVERAGE(F$2:F$68))&gt;_xlfn.STDEV.S(F$2:F$68)*2,ABS(G8-AVERAGE(G$2:G$68))&gt;_xlfn.STDEV.S(G$2:G$68)*2),"",G8))</f>
        <v>2.720159303405957</v>
      </c>
      <c r="J8" s="5">
        <f>IF(OR(H8="",I8=""),"", (I8-(SLOPE(I$2:I$68,H$2:H$68)*H8+INTERCEPT(I$2:I$68,H$2:H$68))))</f>
        <v>0.55823242980759202</v>
      </c>
      <c r="K8" s="5">
        <f>IF(J8="","", J8/_xlfn.STDEV.S(J$2:J$68))</f>
        <v>1.1638723401787485</v>
      </c>
      <c r="L8" s="5">
        <f>IF(OR(K8&lt;-2,K8&gt;2),"",H8)</f>
        <v>5.4955262521376298</v>
      </c>
      <c r="M8" s="5">
        <f>IF(OR(K8&lt;-2,K8&gt;2),"",I8)</f>
        <v>2.720159303405957</v>
      </c>
      <c r="N8" s="5">
        <f>IF(OR(M8="",L8=""),"", (M8-(SLOPE(M$2:M$68,L$2:L$68)*L8+INTERCEPT(M$2:M$68,L$2:L$68))))</f>
        <v>0.52951919033804229</v>
      </c>
      <c r="O8">
        <f>IF(AND(C8=0,B8=0),0,IF(AND(B8&gt;0,C8=0),-4.9,IF(AND(B8=0,C8&gt;0),4.9,(G8-(SLOPE(M$2:M$68,L$2:L$68)*F8+INTERCEPT(M$2:M$68,L$2:L$68)))/_xlfn.STDEV.S(N$2:N$68))))</f>
        <v>1.152196453634029</v>
      </c>
    </row>
    <row r="9" spans="1:15" x14ac:dyDescent="0.35">
      <c r="A9" s="2" t="s">
        <v>20</v>
      </c>
      <c r="B9">
        <f>SUM([1]category_mergeDALY!P26)</f>
        <v>3275037.1901903301</v>
      </c>
      <c r="C9">
        <f>SUM([1]pubmed_result!L27)</f>
        <v>256</v>
      </c>
      <c r="D9" s="5">
        <f>IF(OR(B9=0,C9=0),"",B9)</f>
        <v>3275037.1901903301</v>
      </c>
      <c r="E9" s="5">
        <f>IF(OR(B9=0,C9=0),"",C9)</f>
        <v>256</v>
      </c>
      <c r="F9" s="5">
        <f>IF(D9="","",LOG10(D9))</f>
        <v>6.5152162360538277</v>
      </c>
      <c r="G9" s="5">
        <f>IF(E9="","",LOG10(E9))</f>
        <v>2.4082399653118496</v>
      </c>
      <c r="H9" s="5">
        <f>IF(OR(F9="",G9=""),"",IF(OR(ABS(F9-AVERAGE(F$2:F$68))&gt;_xlfn.STDEV.S(F$2:F$68)*2,ABS(G9-AVERAGE(G$2:G$68))&gt;_xlfn.STDEV.S(G$2:G$68)*2),"",F9))</f>
        <v>6.5152162360538277</v>
      </c>
      <c r="I9" s="5">
        <f>IF(OR(F9="",G9=""),"",IF(OR(ABS(F9-AVERAGE(F$2:F$68))&gt;_xlfn.STDEV.S(F$2:F$68)*2,ABS(G9-AVERAGE(G$2:G$68))&gt;_xlfn.STDEV.S(G$2:G$68)*2),"",G9))</f>
        <v>2.4082399653118496</v>
      </c>
      <c r="J9" s="5">
        <f>IF(OR(H9="",I9=""),"", (I9-(SLOPE(I$2:I$68,H$2:H$68)*H9+INTERCEPT(I$2:I$68,H$2:H$68))))</f>
        <v>-9.8511818664520412E-2</v>
      </c>
      <c r="K9" s="5">
        <f>IF(J9="","", J9/_xlfn.STDEV.S(J$2:J$68))</f>
        <v>-0.20538968143405517</v>
      </c>
      <c r="L9" s="5">
        <f>IF(OR(K9&lt;-2,K9&gt;2),"",H9)</f>
        <v>6.5152162360538277</v>
      </c>
      <c r="M9" s="5">
        <f>IF(OR(K9&lt;-2,K9&gt;2),"",I9)</f>
        <v>2.4082399653118496</v>
      </c>
      <c r="N9" s="5">
        <f>IF(OR(M9="",L9=""),"", (M9-(SLOPE(M$2:M$68,L$2:L$68)*L9+INTERCEPT(M$2:M$68,L$2:L$68))))</f>
        <v>-0.11408236518808312</v>
      </c>
      <c r="O9">
        <f>IF(AND(C9=0,B9=0),0,IF(AND(B9&gt;0,C9=0),-4.9,IF(AND(B9=0,C9&gt;0),4.9,(G9-(SLOPE(M$2:M$68,L$2:L$68)*F9+INTERCEPT(M$2:M$68,L$2:L$68)))/_xlfn.STDEV.S(N$2:N$68))))</f>
        <v>-0.24823518956504217</v>
      </c>
    </row>
    <row r="10" spans="1:15" x14ac:dyDescent="0.35">
      <c r="A10" s="2" t="s">
        <v>54</v>
      </c>
      <c r="B10">
        <f>SUM([1]category_mergeDALY!P60)</f>
        <v>285360.590004161</v>
      </c>
      <c r="C10">
        <f>SUM([1]pubmed_result!L61)</f>
        <v>464</v>
      </c>
      <c r="D10" s="5">
        <f>IF(OR(B10=0,C10=0),"",B10)</f>
        <v>285360.590004161</v>
      </c>
      <c r="E10" s="5">
        <f>IF(OR(B10=0,C10=0),"",C10)</f>
        <v>464</v>
      </c>
      <c r="F10" s="5">
        <f>IF(D10="","",LOG10(D10))</f>
        <v>5.4553939942672427</v>
      </c>
      <c r="G10" s="5">
        <f>IF(E10="","",LOG10(E10))</f>
        <v>2.6665179805548807</v>
      </c>
      <c r="H10" s="5">
        <f>IF(OR(F10="",G10=""),"",IF(OR(ABS(F10-AVERAGE(F$2:F$68))&gt;_xlfn.STDEV.S(F$2:F$68)*2,ABS(G10-AVERAGE(G$2:G$68))&gt;_xlfn.STDEV.S(G$2:G$68)*2),"",F10))</f>
        <v>5.4553939942672427</v>
      </c>
      <c r="I10" s="5">
        <f>IF(OR(F10="",G10=""),"",IF(OR(ABS(F10-AVERAGE(F$2:F$68))&gt;_xlfn.STDEV.S(F$2:F$68)*2,ABS(G10-AVERAGE(G$2:G$68))&gt;_xlfn.STDEV.S(G$2:G$68)*2),"",G10))</f>
        <v>2.6665179805548807</v>
      </c>
      <c r="J10" s="5">
        <f>IF(OR(H10="",I10=""),"", (I10-(SLOPE(I$2:I$68,H$2:H$68)*H10+INTERCEPT(I$2:I$68,H$2:H$68))))</f>
        <v>0.51816248888798766</v>
      </c>
      <c r="K10" s="5">
        <f>IF(J10="","", J10/_xlfn.STDEV.S(J$2:J$68))</f>
        <v>1.0803295479318014</v>
      </c>
      <c r="L10" s="5">
        <f>IF(OR(K10&lt;-2,K10&gt;2),"",H10)</f>
        <v>5.4553939942672427</v>
      </c>
      <c r="M10" s="5">
        <f>IF(OR(K10&lt;-2,K10&gt;2),"",I10)</f>
        <v>2.6665179805548807</v>
      </c>
      <c r="N10" s="5">
        <f>IF(OR(M10="",L10=""),"", (M10-(SLOPE(M$2:M$68,L$2:L$68)*L10+INTERCEPT(M$2:M$68,L$2:L$68))))</f>
        <v>0.48893198833836538</v>
      </c>
      <c r="O10">
        <f>IF(AND(C10=0,B10=0),0,IF(AND(B10&gt;0,C10=0),-4.9,IF(AND(B10=0,C10&gt;0),4.9,(G10-(SLOPE(M$2:M$68,L$2:L$68)*F10+INTERCEPT(M$2:M$68,L$2:L$68)))/_xlfn.STDEV.S(N$2:N$68))))</f>
        <v>1.0638815614445662</v>
      </c>
    </row>
    <row r="11" spans="1:15" x14ac:dyDescent="0.35">
      <c r="A11" s="2" t="s">
        <v>57</v>
      </c>
      <c r="B11">
        <f>SUM([1]category_mergeDALY!P63)</f>
        <v>183969.659036325</v>
      </c>
      <c r="C11">
        <f>SUM([1]pubmed_result!L64)</f>
        <v>465</v>
      </c>
      <c r="D11" s="5">
        <f>IF(OR(B11=0,C11=0),"",B11)</f>
        <v>183969.659036325</v>
      </c>
      <c r="E11" s="5">
        <f>IF(OR(B11=0,C11=0),"",C11)</f>
        <v>465</v>
      </c>
      <c r="F11" s="5">
        <f>IF(D11="","",LOG10(D11))</f>
        <v>5.2647462034463146</v>
      </c>
      <c r="G11" s="5">
        <f>IF(E11="","",LOG10(E11))</f>
        <v>2.667452952889954</v>
      </c>
      <c r="H11" s="5">
        <f>IF(OR(F11="",G11=""),"",IF(OR(ABS(F11-AVERAGE(F$2:F$68))&gt;_xlfn.STDEV.S(F$2:F$68)*2,ABS(G11-AVERAGE(G$2:G$68))&gt;_xlfn.STDEV.S(G$2:G$68)*2),"",F11))</f>
        <v>5.2647462034463146</v>
      </c>
      <c r="I11" s="5">
        <f>IF(OR(F11="",G11=""),"",IF(OR(ABS(F11-AVERAGE(F$2:F$68))&gt;_xlfn.STDEV.S(F$2:F$68)*2,ABS(G11-AVERAGE(G$2:G$68))&gt;_xlfn.STDEV.S(G$2:G$68)*2),"",G11))</f>
        <v>2.667452952889954</v>
      </c>
      <c r="J11" s="5">
        <f>IF(OR(H11="",I11=""),"", (I11-(SLOPE(I$2:I$68,H$2:H$68)*H11+INTERCEPT(I$2:I$68,H$2:H$68))))</f>
        <v>0.58356814194026407</v>
      </c>
      <c r="K11" s="5">
        <f>IF(J11="","", J11/_xlfn.STDEV.S(J$2:J$68))</f>
        <v>1.2166953812552257</v>
      </c>
      <c r="L11" s="5">
        <f>IF(OR(K11&lt;-2,K11&gt;2),"",H11)</f>
        <v>5.2647462034463146</v>
      </c>
      <c r="M11" s="5">
        <f>IF(OR(K11&lt;-2,K11&gt;2),"",I11)</f>
        <v>2.667452952889954</v>
      </c>
      <c r="N11" s="5">
        <f>IF(OR(M11="",L11=""),"", (M11-(SLOPE(M$2:M$68,L$2:L$68)*L11+INTERCEPT(M$2:M$68,L$2:L$68))))</f>
        <v>0.5518803990766914</v>
      </c>
      <c r="O11">
        <f>IF(AND(C11=0,B11=0),0,IF(AND(B11&gt;0,C11=0),-4.9,IF(AND(B11=0,C11&gt;0),4.9,(G11-(SLOPE(M$2:M$68,L$2:L$68)*F11+INTERCEPT(M$2:M$68,L$2:L$68)))/_xlfn.STDEV.S(N$2:N$68))))</f>
        <v>1.2008528685057804</v>
      </c>
    </row>
    <row r="12" spans="1:15" x14ac:dyDescent="0.35">
      <c r="A12" s="2" t="s">
        <v>21</v>
      </c>
      <c r="B12">
        <f>SUM([1]category_mergeDALY!P27)</f>
        <v>3883373.9891910502</v>
      </c>
      <c r="C12">
        <f>SUM([1]pubmed_result!L28)</f>
        <v>296</v>
      </c>
      <c r="D12" s="5">
        <f>IF(OR(B12=0,C12=0),"",B12)</f>
        <v>3883373.9891910502</v>
      </c>
      <c r="E12" s="5">
        <f>IF(OR(B12=0,C12=0),"",C12)</f>
        <v>296</v>
      </c>
      <c r="F12" s="5">
        <f>IF(D12="","",LOG10(D12))</f>
        <v>6.5892092173862995</v>
      </c>
      <c r="G12" s="5">
        <f>IF(E12="","",LOG10(E12))</f>
        <v>2.4712917110589387</v>
      </c>
      <c r="H12" s="5">
        <f>IF(OR(F12="",G12=""),"",IF(OR(ABS(F12-AVERAGE(F$2:F$68))&gt;_xlfn.STDEV.S(F$2:F$68)*2,ABS(G12-AVERAGE(G$2:G$68))&gt;_xlfn.STDEV.S(G$2:G$68)*2),"",F12))</f>
        <v>6.5892092173862995</v>
      </c>
      <c r="I12" s="5">
        <f>IF(OR(F12="",G12=""),"",IF(OR(ABS(F12-AVERAGE(F$2:F$68))&gt;_xlfn.STDEV.S(F$2:F$68)*2,ABS(G12-AVERAGE(G$2:G$68))&gt;_xlfn.STDEV.S(G$2:G$68)*2),"",G12))</f>
        <v>2.4712917110589387</v>
      </c>
      <c r="J12" s="5">
        <f>IF(OR(H12="",I12=""),"", (I12-(SLOPE(I$2:I$68,H$2:H$68)*H12+INTERCEPT(I$2:I$68,H$2:H$68))))</f>
        <v>-6.0482014447718502E-2</v>
      </c>
      <c r="K12" s="5">
        <f>IF(J12="","", J12/_xlfn.STDEV.S(J$2:J$68))</f>
        <v>-0.1261004197091411</v>
      </c>
      <c r="L12" s="5">
        <f>IF(OR(K12&lt;-2,K12&gt;2),"",H12)</f>
        <v>6.5892092173862995</v>
      </c>
      <c r="M12" s="5">
        <f>IF(OR(K12&lt;-2,K12&gt;2),"",I12)</f>
        <v>2.4712917110589387</v>
      </c>
      <c r="N12" s="5">
        <f>IF(OR(M12="",L12=""),"", (M12-(SLOPE(M$2:M$68,L$2:L$68)*L12+INTERCEPT(M$2:M$68,L$2:L$68))))</f>
        <v>-7.5098872056856614E-2</v>
      </c>
      <c r="O12">
        <f>IF(AND(C12=0,B12=0),0,IF(AND(B12&gt;0,C12=0),-4.9,IF(AND(B12=0,C12&gt;0),4.9,(G12-(SLOPE(M$2:M$68,L$2:L$68)*F12+INTERCEPT(M$2:M$68,L$2:L$68)))/_xlfn.STDEV.S(N$2:N$68))))</f>
        <v>-0.16340985489229656</v>
      </c>
    </row>
    <row r="13" spans="1:15" x14ac:dyDescent="0.35">
      <c r="A13" s="2" t="s">
        <v>65</v>
      </c>
      <c r="B13">
        <f>SUM([1]category_mergeDALY!P71)</f>
        <v>31382292.754248101</v>
      </c>
      <c r="C13">
        <f>SUM([1]pubmed_result!L72)</f>
        <v>54233</v>
      </c>
      <c r="D13" s="5">
        <f>IF(OR(B13=0,C13=0),"",B13)</f>
        <v>31382292.754248101</v>
      </c>
      <c r="E13" s="5">
        <f>IF(OR(B13=0,C13=0),"",C13)</f>
        <v>54233</v>
      </c>
      <c r="F13" s="5">
        <f>IF(D13="","",LOG10(D13))</f>
        <v>7.4966846694658305</v>
      </c>
      <c r="G13" s="5">
        <f>IF(E13="","",LOG10(E13))</f>
        <v>4.7342636289128537</v>
      </c>
      <c r="H13" s="5" t="str">
        <f>IF(OR(F13="",G13=""),"",IF(OR(ABS(F13-AVERAGE(F$2:F$68))&gt;_xlfn.STDEV.S(F$2:F$68)*2,ABS(G13-AVERAGE(G$2:G$68))&gt;_xlfn.STDEV.S(G$2:G$68)*2),"",F13))</f>
        <v/>
      </c>
      <c r="I13" s="5" t="str">
        <f>IF(OR(F13="",G13=""),"",IF(OR(ABS(F13-AVERAGE(F$2:F$68))&gt;_xlfn.STDEV.S(F$2:F$68)*2,ABS(G13-AVERAGE(G$2:G$68))&gt;_xlfn.STDEV.S(G$2:G$68)*2),"",G13))</f>
        <v/>
      </c>
      <c r="J13" s="5" t="str">
        <f>IF(OR(H13="",I13=""),"", (I13-(SLOPE(I$2:I$68,H$2:H$68)*H13+INTERCEPT(I$2:I$68,H$2:H$68))))</f>
        <v/>
      </c>
      <c r="K13" s="5" t="str">
        <f>IF(J13="","", J13/_xlfn.STDEV.S(J$2:J$68))</f>
        <v/>
      </c>
      <c r="L13" s="5" t="str">
        <f>IF(OR(K13&lt;-2,K13&gt;2),"",H13)</f>
        <v/>
      </c>
      <c r="M13" s="5" t="str">
        <f>IF(OR(K13&lt;-2,K13&gt;2),"",I13)</f>
        <v/>
      </c>
      <c r="N13" s="5" t="str">
        <f>IF(OR(M13="",L13=""),"", (M13-(SLOPE(M$2:M$68,L$2:L$68)*L13+INTERCEPT(M$2:M$68,L$2:L$68))))</f>
        <v/>
      </c>
      <c r="O13">
        <f>IF(AND(C13=0,B13=0),0,IF(AND(B13&gt;0,C13=0),-4.9,IF(AND(B13=0,C13&gt;0),4.9,(G13-(SLOPE(M$2:M$68,L$2:L$68)*F13+INTERCEPT(M$2:M$68,L$2:L$68)))/_xlfn.STDEV.S(N$2:N$68))))</f>
        <v>4.1183637813163552</v>
      </c>
    </row>
    <row r="14" spans="1:15" x14ac:dyDescent="0.35">
      <c r="A14" s="2" t="s">
        <v>13</v>
      </c>
      <c r="B14">
        <f>SUM([1]category_mergeDALY!P16)</f>
        <v>4652135.8266919795</v>
      </c>
      <c r="C14">
        <f>SUM([1]pubmed_result!L17)</f>
        <v>286</v>
      </c>
      <c r="D14" s="5">
        <f>IF(OR(B14=0,C14=0),"",B14)</f>
        <v>4652135.8266919795</v>
      </c>
      <c r="E14" s="5">
        <f>IF(OR(B14=0,C14=0),"",C14)</f>
        <v>286</v>
      </c>
      <c r="F14" s="5">
        <f>IF(D14="","",LOG10(D14))</f>
        <v>6.6676523861771493</v>
      </c>
      <c r="G14" s="5">
        <f>IF(E14="","",LOG10(E14))</f>
        <v>2.4563660331290431</v>
      </c>
      <c r="H14" s="5">
        <f>IF(OR(F14="",G14=""),"",IF(OR(ABS(F14-AVERAGE(F$2:F$68))&gt;_xlfn.STDEV.S(F$2:F$68)*2,ABS(G14-AVERAGE(G$2:G$68))&gt;_xlfn.STDEV.S(G$2:G$68)*2),"",F14))</f>
        <v>6.6676523861771493</v>
      </c>
      <c r="I14" s="5">
        <f>IF(OR(F14="",G14=""),"",IF(OR(ABS(F14-AVERAGE(F$2:F$68))&gt;_xlfn.STDEV.S(F$2:F$68)*2,ABS(G14-AVERAGE(G$2:G$68))&gt;_xlfn.STDEV.S(G$2:G$68)*2),"",G14))</f>
        <v>2.4563660331290431</v>
      </c>
      <c r="J14" s="5">
        <f>IF(OR(H14="",I14=""),"", (I14-(SLOPE(I$2:I$68,H$2:H$68)*H14+INTERCEPT(I$2:I$68,H$2:H$68))))</f>
        <v>-0.10193453786469764</v>
      </c>
      <c r="K14" s="5">
        <f>IF(J14="","", J14/_xlfn.STDEV.S(J$2:J$68))</f>
        <v>-0.21252579175759556</v>
      </c>
      <c r="L14" s="5">
        <f>IF(OR(K14&lt;-2,K14&gt;2),"",H14)</f>
        <v>6.6676523861771493</v>
      </c>
      <c r="M14" s="5">
        <f>IF(OR(K14&lt;-2,K14&gt;2),"",I14)</f>
        <v>2.4563660331290431</v>
      </c>
      <c r="N14" s="5">
        <f>IF(OR(M14="",L14=""),"", (M14-(SLOPE(M$2:M$68,L$2:L$68)*L14+INTERCEPT(M$2:M$68,L$2:L$68))))</f>
        <v>-0.11554034849152739</v>
      </c>
      <c r="O14">
        <f>IF(AND(C14=0,B14=0),0,IF(AND(B14&gt;0,C14=0),-4.9,IF(AND(B14=0,C14&gt;0),4.9,(G14-(SLOPE(M$2:M$68,L$2:L$68)*F14+INTERCEPT(M$2:M$68,L$2:L$68)))/_xlfn.STDEV.S(N$2:N$68))))</f>
        <v>-0.25140765851864832</v>
      </c>
    </row>
    <row r="15" spans="1:15" x14ac:dyDescent="0.35">
      <c r="A15" s="2" t="s">
        <v>41</v>
      </c>
      <c r="B15">
        <f>SUM([1]category_mergeDALY!P47)</f>
        <v>1182777.93662054</v>
      </c>
      <c r="C15">
        <f>SUM([1]pubmed_result!L48)</f>
        <v>103</v>
      </c>
      <c r="D15" s="5">
        <f>IF(OR(B15=0,C15=0),"",B15)</f>
        <v>1182777.93662054</v>
      </c>
      <c r="E15" s="5">
        <f>IF(OR(B15=0,C15=0),"",C15)</f>
        <v>103</v>
      </c>
      <c r="F15" s="5">
        <f>IF(D15="","",LOG10(D15))</f>
        <v>6.0729032146591848</v>
      </c>
      <c r="G15" s="5">
        <f>IF(E15="","",LOG10(E15))</f>
        <v>2.012837224705172</v>
      </c>
      <c r="H15" s="5">
        <f>IF(OR(F15="",G15=""),"",IF(OR(ABS(F15-AVERAGE(F$2:F$68))&gt;_xlfn.STDEV.S(F$2:F$68)*2,ABS(G15-AVERAGE(G$2:G$68))&gt;_xlfn.STDEV.S(G$2:G$68)*2),"",F15))</f>
        <v>6.0729032146591848</v>
      </c>
      <c r="I15" s="5">
        <f>IF(OR(F15="",G15=""),"",IF(OR(ABS(F15-AVERAGE(F$2:F$68))&gt;_xlfn.STDEV.S(F$2:F$68)*2,ABS(G15-AVERAGE(G$2:G$68))&gt;_xlfn.STDEV.S(G$2:G$68)*2),"",G15))</f>
        <v>2.012837224705172</v>
      </c>
      <c r="J15" s="5">
        <f>IF(OR(H15="",I15=""),"", (I15-(SLOPE(I$2:I$68,H$2:H$68)*H15+INTERCEPT(I$2:I$68,H$2:H$68))))</f>
        <v>-0.3443391487374341</v>
      </c>
      <c r="K15" s="5">
        <f>IF(J15="","", J15/_xlfn.STDEV.S(J$2:J$68))</f>
        <v>-0.71792104767960063</v>
      </c>
      <c r="L15" s="5">
        <f>IF(OR(K15&lt;-2,K15&gt;2),"",H15)</f>
        <v>6.0729032146591848</v>
      </c>
      <c r="M15" s="5">
        <f>IF(OR(K15&lt;-2,K15&gt;2),"",I15)</f>
        <v>2.012837224705172</v>
      </c>
      <c r="N15" s="5">
        <f>IF(OR(M15="",L15=""),"", (M15-(SLOPE(M$2:M$68,L$2:L$68)*L15+INTERCEPT(M$2:M$68,L$2:L$68))))</f>
        <v>-0.36561062820914181</v>
      </c>
      <c r="O15">
        <f>IF(AND(C15=0,B15=0),0,IF(AND(B15&gt;0,C15=0),-4.9,IF(AND(B15=0,C15&gt;0),4.9,(G15-(SLOPE(M$2:M$68,L$2:L$68)*F15+INTERCEPT(M$2:M$68,L$2:L$68)))/_xlfn.STDEV.S(N$2:N$68))))</f>
        <v>-0.79554296977330596</v>
      </c>
    </row>
    <row r="16" spans="1:15" x14ac:dyDescent="0.35">
      <c r="A16" s="2" t="s">
        <v>31</v>
      </c>
      <c r="B16">
        <f>SUM([1]category_mergeDALY!P37)</f>
        <v>3015759.8152418998</v>
      </c>
      <c r="C16">
        <f>SUM([1]pubmed_result!L38)</f>
        <v>925</v>
      </c>
      <c r="D16" s="5">
        <f>IF(OR(B16=0,C16=0),"",B16)</f>
        <v>3015759.8152418998</v>
      </c>
      <c r="E16" s="5">
        <f>IF(OR(B16=0,C16=0),"",C16)</f>
        <v>925</v>
      </c>
      <c r="F16" s="5">
        <f>IF(D16="","",LOG10(D16))</f>
        <v>6.4793967499733345</v>
      </c>
      <c r="G16" s="5">
        <f>IF(E16="","",LOG10(E16))</f>
        <v>2.9661417327390325</v>
      </c>
      <c r="H16" s="5">
        <f>IF(OR(F16="",G16=""),"",IF(OR(ABS(F16-AVERAGE(F$2:F$68))&gt;_xlfn.STDEV.S(F$2:F$68)*2,ABS(G16-AVERAGE(G$2:G$68))&gt;_xlfn.STDEV.S(G$2:G$68)*2),"",F16))</f>
        <v>6.4793967499733345</v>
      </c>
      <c r="I16" s="5">
        <f>IF(OR(F16="",G16=""),"",IF(OR(ABS(F16-AVERAGE(F$2:F$68))&gt;_xlfn.STDEV.S(F$2:F$68)*2,ABS(G16-AVERAGE(G$2:G$68))&gt;_xlfn.STDEV.S(G$2:G$68)*2),"",G16))</f>
        <v>2.9661417327390325</v>
      </c>
      <c r="J16" s="5">
        <f>IF(OR(H16="",I16=""),"", (I16-(SLOPE(I$2:I$68,H$2:H$68)*H16+INTERCEPT(I$2:I$68,H$2:H$68))))</f>
        <v>0.47150289610186835</v>
      </c>
      <c r="K16" s="5">
        <f>IF(J16="","", J16/_xlfn.STDEV.S(J$2:J$68))</f>
        <v>0.98304783058964362</v>
      </c>
      <c r="L16" s="5">
        <f>IF(OR(K16&lt;-2,K16&gt;2),"",H16)</f>
        <v>6.4793967499733345</v>
      </c>
      <c r="M16" s="5">
        <f>IF(OR(K16&lt;-2,K16&gt;2),"",I16)</f>
        <v>2.9661417327390325</v>
      </c>
      <c r="N16" s="5">
        <f>IF(OR(M16="",L16=""),"", (M16-(SLOPE(M$2:M$68,L$2:L$68)*L16+INTERCEPT(M$2:M$68,L$2:L$68))))</f>
        <v>0.45547067542786346</v>
      </c>
      <c r="O16">
        <f>IF(AND(C16=0,B16=0),0,IF(AND(B16&gt;0,C16=0),-4.9,IF(AND(B16=0,C16&gt;0),4.9,(G16-(SLOPE(M$2:M$68,L$2:L$68)*F16+INTERCEPT(M$2:M$68,L$2:L$68)))/_xlfn.STDEV.S(N$2:N$68))))</f>
        <v>0.99107210189541162</v>
      </c>
    </row>
    <row r="17" spans="1:15" x14ac:dyDescent="0.35">
      <c r="A17" s="2" t="s">
        <v>49</v>
      </c>
      <c r="B17">
        <f>SUM([1]category_mergeDALY!P55)</f>
        <v>329860.67283039697</v>
      </c>
      <c r="C17">
        <f>SUM([1]pubmed_result!L56)</f>
        <v>115</v>
      </c>
      <c r="D17" s="5">
        <f>IF(OR(B17=0,C17=0),"",B17)</f>
        <v>329860.67283039697</v>
      </c>
      <c r="E17" s="5">
        <f>IF(OR(B17=0,C17=0),"",C17)</f>
        <v>115</v>
      </c>
      <c r="F17" s="5">
        <f>IF(D17="","",LOG10(D17))</f>
        <v>5.5183305404897185</v>
      </c>
      <c r="G17" s="5">
        <f>IF(E17="","",LOG10(E17))</f>
        <v>2.0606978403536118</v>
      </c>
      <c r="H17" s="5">
        <f>IF(OR(F17="",G17=""),"",IF(OR(ABS(F17-AVERAGE(F$2:F$68))&gt;_xlfn.STDEV.S(F$2:F$68)*2,ABS(G17-AVERAGE(G$2:G$68))&gt;_xlfn.STDEV.S(G$2:G$68)*2),"",F17))</f>
        <v>5.5183305404897185</v>
      </c>
      <c r="I17" s="5">
        <f>IF(OR(F17="",G17=""),"",IF(OR(ABS(F17-AVERAGE(F$2:F$68))&gt;_xlfn.STDEV.S(F$2:F$68)*2,ABS(G17-AVERAGE(G$2:G$68))&gt;_xlfn.STDEV.S(G$2:G$68)*2),"",G17))</f>
        <v>2.0606978403536118</v>
      </c>
      <c r="J17" s="5">
        <f>IF(OR(H17="",I17=""),"", (I17-(SLOPE(I$2:I$68,H$2:H$68)*H17+INTERCEPT(I$2:I$68,H$2:H$68))))</f>
        <v>-0.10894067777522398</v>
      </c>
      <c r="K17" s="5">
        <f>IF(J17="","", J17/_xlfn.STDEV.S(J$2:J$68))</f>
        <v>-0.22713306288316343</v>
      </c>
      <c r="L17" s="5">
        <f>IF(OR(K17&lt;-2,K17&gt;2),"",H17)</f>
        <v>5.5183305404897185</v>
      </c>
      <c r="M17" s="5">
        <f>IF(OR(K17&lt;-2,K17&gt;2),"",I17)</f>
        <v>2.0606978403536118</v>
      </c>
      <c r="N17" s="5">
        <f>IF(OR(M17="",L17=""),"", (M17-(SLOPE(M$2:M$68,L$2:L$68)*L17+INTERCEPT(M$2:M$68,L$2:L$68))))</f>
        <v>-0.13735999481306305</v>
      </c>
      <c r="O17">
        <f>IF(AND(C17=0,B17=0),0,IF(AND(B17&gt;0,C17=0),-4.9,IF(AND(B17=0,C17&gt;0),4.9,(G17-(SLOPE(M$2:M$68,L$2:L$68)*F17+INTERCEPT(M$2:M$68,L$2:L$68)))/_xlfn.STDEV.S(N$2:N$68))))</f>
        <v>-0.29888567172374592</v>
      </c>
    </row>
    <row r="18" spans="1:15" x14ac:dyDescent="0.35">
      <c r="A18" s="2" t="s">
        <v>66</v>
      </c>
      <c r="B18">
        <f>SUM([1]category_mergeDALY!P72)</f>
        <v>14274203.329049511</v>
      </c>
      <c r="C18">
        <f>SUM([1]pubmed_result!L73)</f>
        <v>2985</v>
      </c>
      <c r="D18" s="5">
        <f>IF(OR(B18=0,C18=0),"",B18)</f>
        <v>14274203.329049511</v>
      </c>
      <c r="E18" s="5">
        <f>IF(OR(B18=0,C18=0),"",C18)</f>
        <v>2985</v>
      </c>
      <c r="F18" s="5">
        <f>IF(D18="","",LOG10(D18))</f>
        <v>7.1545518787775917</v>
      </c>
      <c r="G18" s="5">
        <f>IF(E18="","",LOG10(E18))</f>
        <v>3.4749443354653877</v>
      </c>
      <c r="H18" s="5">
        <f>IF(OR(F18="",G18=""),"",IF(OR(ABS(F18-AVERAGE(F$2:F$68))&gt;_xlfn.STDEV.S(F$2:F$68)*2,ABS(G18-AVERAGE(G$2:G$68))&gt;_xlfn.STDEV.S(G$2:G$68)*2),"",F18))</f>
        <v>7.1545518787775917</v>
      </c>
      <c r="I18" s="5">
        <f>IF(OR(F18="",G18=""),"",IF(OR(ABS(F18-AVERAGE(F$2:F$68))&gt;_xlfn.STDEV.S(F$2:F$68)*2,ABS(G18-AVERAGE(G$2:G$68))&gt;_xlfn.STDEV.S(G$2:G$68)*2),"",G18))</f>
        <v>3.4749443354653877</v>
      </c>
      <c r="J18" s="5">
        <f>IF(OR(H18="",I18=""),"", (I18-(SLOPE(I$2:I$68,H$2:H$68)*H18+INTERCEPT(I$2:I$68,H$2:H$68))))</f>
        <v>0.75199070663319523</v>
      </c>
      <c r="K18" s="5">
        <f>IF(J18="","", J18/_xlfn.STDEV.S(J$2:J$68))</f>
        <v>1.5678436736889565</v>
      </c>
      <c r="L18" s="5">
        <f>IF(OR(K18&lt;-2,K18&gt;2),"",H18)</f>
        <v>7.1545518787775917</v>
      </c>
      <c r="M18" s="5">
        <f>IF(OR(K18&lt;-2,K18&gt;2),"",I18)</f>
        <v>3.4749443354653877</v>
      </c>
      <c r="N18" s="5">
        <f>IF(OR(M18="",L18=""),"", (M18-(SLOPE(M$2:M$68,L$2:L$68)*L18+INTERCEPT(M$2:M$68,L$2:L$68))))</f>
        <v>0.74466049999163575</v>
      </c>
      <c r="O18">
        <f>IF(AND(C18=0,B18=0),0,IF(AND(B18&gt;0,C18=0),-4.9,IF(AND(B18=0,C18&gt;0),4.9,(G18-(SLOPE(M$2:M$68,L$2:L$68)*F18+INTERCEPT(M$2:M$68,L$2:L$68)))/_xlfn.STDEV.S(N$2:N$68))))</f>
        <v>1.6203287867696841</v>
      </c>
    </row>
    <row r="19" spans="1:15" x14ac:dyDescent="0.35">
      <c r="A19" s="2" t="s">
        <v>63</v>
      </c>
      <c r="B19">
        <f>SUM([1]category_mergeDALY!P69)</f>
        <v>3.51541655447472</v>
      </c>
      <c r="C19">
        <f>SUM([1]pubmed_result!L70)</f>
        <v>274</v>
      </c>
      <c r="D19" s="5">
        <f>IF(OR(B19=0,C19=0),"",B19)</f>
        <v>3.51541655447472</v>
      </c>
      <c r="E19" s="5">
        <f>IF(OR(B19=0,C19=0),"",C19)</f>
        <v>274</v>
      </c>
      <c r="F19" s="5">
        <f>IF(D19="","",LOG10(D19))</f>
        <v>0.54597679353540962</v>
      </c>
      <c r="G19" s="5">
        <f>IF(E19="","",LOG10(E19))</f>
        <v>2.4377505628203879</v>
      </c>
      <c r="H19" s="5" t="str">
        <f>IF(OR(F19="",G19=""),"",IF(OR(ABS(F19-AVERAGE(F$2:F$68))&gt;_xlfn.STDEV.S(F$2:F$68)*2,ABS(G19-AVERAGE(G$2:G$68))&gt;_xlfn.STDEV.S(G$2:G$68)*2),"",F19))</f>
        <v/>
      </c>
      <c r="I19" s="5" t="str">
        <f>IF(OR(F19="",G19=""),"",IF(OR(ABS(F19-AVERAGE(F$2:F$68))&gt;_xlfn.STDEV.S(F$2:F$68)*2,ABS(G19-AVERAGE(G$2:G$68))&gt;_xlfn.STDEV.S(G$2:G$68)*2),"",G19))</f>
        <v/>
      </c>
      <c r="J19" s="5" t="str">
        <f>IF(OR(H19="",I19=""),"", (I19-(SLOPE(I$2:I$68,H$2:H$68)*H19+INTERCEPT(I$2:I$68,H$2:H$68))))</f>
        <v/>
      </c>
      <c r="K19" s="5" t="str">
        <f>IF(J19="","", J19/_xlfn.STDEV.S(J$2:J$68))</f>
        <v/>
      </c>
      <c r="L19" s="5" t="str">
        <f>IF(OR(K19&lt;-2,K19&gt;2),"",H19)</f>
        <v/>
      </c>
      <c r="M19" s="5" t="str">
        <f>IF(OR(K19&lt;-2,K19&gt;2),"",I19)</f>
        <v/>
      </c>
      <c r="N19" s="5" t="str">
        <f>IF(OR(M19="",L19=""),"", (M19-(SLOPE(M$2:M$68,L$2:L$68)*L19+INTERCEPT(M$2:M$68,L$2:L$68))))</f>
        <v/>
      </c>
      <c r="O19">
        <f>IF(AND(C19=0,B19=0),0,IF(AND(B19&gt;0,C19=0),-4.9,IF(AND(B19=0,C19&gt;0),4.9,(G19-(SLOPE(M$2:M$68,L$2:L$68)*F19+INTERCEPT(M$2:M$68,L$2:L$68)))/_xlfn.STDEV.S(N$2:N$68))))</f>
        <v>4.0408917119828613</v>
      </c>
    </row>
    <row r="20" spans="1:15" x14ac:dyDescent="0.35">
      <c r="A20" s="2" t="s">
        <v>59</v>
      </c>
      <c r="B20">
        <f>SUM([1]category_mergeDALY!P65)</f>
        <v>97010.116671247306</v>
      </c>
      <c r="C20">
        <f>SUM([1]pubmed_result!L66)</f>
        <v>369</v>
      </c>
      <c r="D20" s="5">
        <f>IF(OR(B20=0,C20=0),"",B20)</f>
        <v>97010.116671247306</v>
      </c>
      <c r="E20" s="5">
        <f>IF(OR(B20=0,C20=0),"",C20)</f>
        <v>369</v>
      </c>
      <c r="F20" s="5">
        <f>IF(D20="","",LOG10(D20))</f>
        <v>4.9868170268991996</v>
      </c>
      <c r="G20" s="5">
        <f>IF(E20="","",LOG10(E20))</f>
        <v>2.5670263661590602</v>
      </c>
      <c r="H20" s="5">
        <f>IF(OR(F20="",G20=""),"",IF(OR(ABS(F20-AVERAGE(F$2:F$68))&gt;_xlfn.STDEV.S(F$2:F$68)*2,ABS(G20-AVERAGE(G$2:G$68))&gt;_xlfn.STDEV.S(G$2:G$68)*2),"",F20))</f>
        <v>4.9868170268991996</v>
      </c>
      <c r="I20" s="5">
        <f>IF(OR(F20="",G20=""),"",IF(OR(ABS(F20-AVERAGE(F$2:F$68))&gt;_xlfn.STDEV.S(F$2:F$68)*2,ABS(G20-AVERAGE(G$2:G$68))&gt;_xlfn.STDEV.S(G$2:G$68)*2),"",G20))</f>
        <v>2.5670263661590602</v>
      </c>
      <c r="J20" s="5">
        <f>IF(OR(H20="",I20=""),"", (I20-(SLOPE(I$2:I$68,H$2:H$68)*H20+INTERCEPT(I$2:I$68,H$2:H$68))))</f>
        <v>0.57712786958525775</v>
      </c>
      <c r="K20" s="5">
        <f>IF(J20="","", J20/_xlfn.STDEV.S(J$2:J$68))</f>
        <v>1.2032679011287248</v>
      </c>
      <c r="L20" s="5">
        <f>IF(OR(K20&lt;-2,K20&gt;2),"",H20)</f>
        <v>4.9868170268991996</v>
      </c>
      <c r="M20" s="5">
        <f>IF(OR(K20&lt;-2,K20&gt;2),"",I20)</f>
        <v>2.5670263661590602</v>
      </c>
      <c r="N20" s="5">
        <f>IF(OR(M20="",L20=""),"", (M20-(SLOPE(M$2:M$68,L$2:L$68)*L20+INTERCEPT(M$2:M$68,L$2:L$68))))</f>
        <v>0.54185792243831976</v>
      </c>
      <c r="O20">
        <f>IF(AND(C20=0,B20=0),0,IF(AND(B20&gt;0,C20=0),-4.9,IF(AND(B20=0,C20&gt;0),4.9,(G20-(SLOPE(M$2:M$68,L$2:L$68)*F20+INTERCEPT(M$2:M$68,L$2:L$68)))/_xlfn.STDEV.S(N$2:N$68))))</f>
        <v>1.1790446654225464</v>
      </c>
    </row>
    <row r="21" spans="1:15" x14ac:dyDescent="0.35">
      <c r="A21" s="2" t="s">
        <v>28</v>
      </c>
      <c r="B21">
        <f>SUM([1]category_mergeDALY!P34)</f>
        <v>2375136.0864669401</v>
      </c>
      <c r="C21">
        <f>SUM([1]pubmed_result!L35)</f>
        <v>51</v>
      </c>
      <c r="D21" s="5">
        <f>IF(OR(B21=0,C21=0),"",B21)</f>
        <v>2375136.0864669401</v>
      </c>
      <c r="E21" s="5">
        <f>IF(OR(B21=0,C21=0),"",C21)</f>
        <v>51</v>
      </c>
      <c r="F21" s="5">
        <f>IF(D21="","",LOG10(D21))</f>
        <v>6.375688498132873</v>
      </c>
      <c r="G21" s="5">
        <f>IF(E21="","",LOG10(E21))</f>
        <v>1.7075701760979363</v>
      </c>
      <c r="H21" s="5">
        <f>IF(OR(F21="",G21=""),"",IF(OR(ABS(F21-AVERAGE(F$2:F$68))&gt;_xlfn.STDEV.S(F$2:F$68)*2,ABS(G21-AVERAGE(G$2:G$68))&gt;_xlfn.STDEV.S(G$2:G$68)*2),"",F21))</f>
        <v>6.375688498132873</v>
      </c>
      <c r="I21" s="5">
        <f>IF(OR(F21="",G21=""),"",IF(OR(ABS(F21-AVERAGE(F$2:F$68))&gt;_xlfn.STDEV.S(F$2:F$68)*2,ABS(G21-AVERAGE(G$2:G$68))&gt;_xlfn.STDEV.S(G$2:G$68)*2),"",G21))</f>
        <v>1.7075701760979363</v>
      </c>
      <c r="J21" s="5">
        <f>IF(OR(H21="",I21=""),"", (I21-(SLOPE(I$2:I$68,H$2:H$68)*H21+INTERCEPT(I$2:I$68,H$2:H$68))))</f>
        <v>-0.75199801239085362</v>
      </c>
      <c r="K21" s="5">
        <f>IF(J21="","", J21/_xlfn.STDEV.S(J$2:J$68))</f>
        <v>-1.5678589056403958</v>
      </c>
      <c r="L21" s="5">
        <f>IF(OR(K21&lt;-2,K21&gt;2),"",H21)</f>
        <v>6.375688498132873</v>
      </c>
      <c r="M21" s="5">
        <f>IF(OR(K21&lt;-2,K21&gt;2),"",I21)</f>
        <v>1.7075701760979363</v>
      </c>
      <c r="N21" s="5">
        <f>IF(OR(M21="",L21=""),"", (M21-(SLOPE(M$2:M$68,L$2:L$68)*L21+INTERCEPT(M$2:M$68,L$2:L$68))))</f>
        <v>-0.76936691944150537</v>
      </c>
      <c r="O21">
        <f>IF(AND(C21=0,B21=0),0,IF(AND(B21&gt;0,C21=0),-4.9,IF(AND(B21=0,C21&gt;0),4.9,(G21-(SLOPE(M$2:M$68,L$2:L$68)*F21+INTERCEPT(M$2:M$68,L$2:L$68)))/_xlfn.STDEV.S(N$2:N$68))))</f>
        <v>-1.6740882149293352</v>
      </c>
    </row>
    <row r="22" spans="1:15" x14ac:dyDescent="0.35">
      <c r="A22" s="2" t="s">
        <v>42</v>
      </c>
      <c r="B22">
        <f>SUM([1]category_mergeDALY!P48)</f>
        <v>705282.21401587198</v>
      </c>
      <c r="C22">
        <f>SUM([1]pubmed_result!L49)</f>
        <v>66</v>
      </c>
      <c r="D22" s="5">
        <f>IF(OR(B22=0,C22=0),"",B22)</f>
        <v>705282.21401587198</v>
      </c>
      <c r="E22" s="5">
        <f>IF(OR(B22=0,C22=0),"",C22)</f>
        <v>66</v>
      </c>
      <c r="F22" s="5">
        <f>IF(D22="","",LOG10(D22))</f>
        <v>5.848362931835303</v>
      </c>
      <c r="G22" s="5">
        <f>IF(E22="","",LOG10(E22))</f>
        <v>1.8195439355418688</v>
      </c>
      <c r="H22" s="5">
        <f>IF(OR(F22="",G22=""),"",IF(OR(ABS(F22-AVERAGE(F$2:F$68))&gt;_xlfn.STDEV.S(F$2:F$68)*2,ABS(G22-AVERAGE(G$2:G$68))&gt;_xlfn.STDEV.S(G$2:G$68)*2),"",F22))</f>
        <v>5.848362931835303</v>
      </c>
      <c r="I22" s="5">
        <f>IF(OR(F22="",G22=""),"",IF(OR(ABS(F22-AVERAGE(F$2:F$68))&gt;_xlfn.STDEV.S(F$2:F$68)*2,ABS(G22-AVERAGE(G$2:G$68))&gt;_xlfn.STDEV.S(G$2:G$68)*2),"",G22))</f>
        <v>1.8195439355418688</v>
      </c>
      <c r="J22" s="5">
        <f>IF(OR(H22="",I22=""),"", (I22-(SLOPE(I$2:I$68,H$2:H$68)*H22+INTERCEPT(I$2:I$68,H$2:H$68))))</f>
        <v>-0.46170045453101549</v>
      </c>
      <c r="K22" s="5">
        <f>IF(J22="","", J22/_xlfn.STDEV.S(J$2:J$68))</f>
        <v>-0.96261048227137003</v>
      </c>
      <c r="L22" s="5">
        <f>IF(OR(K22&lt;-2,K22&gt;2),"",H22)</f>
        <v>5.848362931835303</v>
      </c>
      <c r="M22" s="5">
        <f>IF(OR(K22&lt;-2,K22&gt;2),"",I22)</f>
        <v>1.8195439355418688</v>
      </c>
      <c r="N22" s="5">
        <f>IF(OR(M22="",L22=""),"", (M22-(SLOPE(M$2:M$68,L$2:L$68)*L22+INTERCEPT(M$2:M$68,L$2:L$68))))</f>
        <v>-0.4858660136129056</v>
      </c>
      <c r="O22">
        <f>IF(AND(C22=0,B22=0),0,IF(AND(B22&gt;0,C22=0),-4.9,IF(AND(B22=0,C22&gt;0),4.9,(G22-(SLOPE(M$2:M$68,L$2:L$68)*F22+INTERCEPT(M$2:M$68,L$2:L$68)))/_xlfn.STDEV.S(N$2:N$68))))</f>
        <v>-1.0572102164393908</v>
      </c>
    </row>
    <row r="23" spans="1:15" x14ac:dyDescent="0.35">
      <c r="A23" s="2" t="s">
        <v>55</v>
      </c>
      <c r="B23">
        <f>SUM([1]category_mergeDALY!P61)</f>
        <v>216872.337123871</v>
      </c>
      <c r="C23">
        <f>SUM([1]pubmed_result!L62)</f>
        <v>65</v>
      </c>
      <c r="D23" s="5">
        <f>IF(OR(B23=0,C23=0),"",B23)</f>
        <v>216872.337123871</v>
      </c>
      <c r="E23" s="5">
        <f>IF(OR(B23=0,C23=0),"",C23)</f>
        <v>65</v>
      </c>
      <c r="F23" s="5">
        <f>IF(D23="","",LOG10(D23))</f>
        <v>5.3362041596645922</v>
      </c>
      <c r="G23" s="5">
        <f>IF(E23="","",LOG10(E23))</f>
        <v>1.8129133566428555</v>
      </c>
      <c r="H23" s="5">
        <f>IF(OR(F23="",G23=""),"",IF(OR(ABS(F23-AVERAGE(F$2:F$68))&gt;_xlfn.STDEV.S(F$2:F$68)*2,ABS(G23-AVERAGE(G$2:G$68))&gt;_xlfn.STDEV.S(G$2:G$68)*2),"",F23))</f>
        <v>5.3362041596645922</v>
      </c>
      <c r="I23" s="5">
        <f>IF(OR(F23="",G23=""),"",IF(OR(ABS(F23-AVERAGE(F$2:F$68))&gt;_xlfn.STDEV.S(F$2:F$68)*2,ABS(G23-AVERAGE(G$2:G$68))&gt;_xlfn.STDEV.S(G$2:G$68)*2),"",G23))</f>
        <v>1.8129133566428555</v>
      </c>
      <c r="J23" s="5">
        <f>IF(OR(H23="",I23=""),"", (I23-(SLOPE(I$2:I$68,H$2:H$68)*H23+INTERCEPT(I$2:I$68,H$2:H$68))))</f>
        <v>-0.29513613547211315</v>
      </c>
      <c r="K23" s="5">
        <f>IF(J23="","", J23/_xlfn.STDEV.S(J$2:J$68))</f>
        <v>-0.6153364912562248</v>
      </c>
      <c r="L23" s="5">
        <f>IF(OR(K23&lt;-2,K23&gt;2),"",H23)</f>
        <v>5.3362041596645922</v>
      </c>
      <c r="M23" s="5">
        <f>IF(OR(K23&lt;-2,K23&gt;2),"",I23)</f>
        <v>1.8129133566428555</v>
      </c>
      <c r="N23" s="5">
        <f>IF(OR(M23="",L23=""),"", (M23-(SLOPE(M$2:M$68,L$2:L$68)*L23+INTERCEPT(M$2:M$68,L$2:L$68))))</f>
        <v>-0.3259028631330867</v>
      </c>
      <c r="O23">
        <f>IF(AND(C23=0,B23=0),0,IF(AND(B23&gt;0,C23=0),-4.9,IF(AND(B23=0,C23&gt;0),4.9,(G23-(SLOPE(M$2:M$68,L$2:L$68)*F23+INTERCEPT(M$2:M$68,L$2:L$68)))/_xlfn.STDEV.S(N$2:N$68))))</f>
        <v>-0.7091416703734551</v>
      </c>
    </row>
    <row r="24" spans="1:15" x14ac:dyDescent="0.35">
      <c r="A24" s="2" t="s">
        <v>60</v>
      </c>
      <c r="B24">
        <f>SUM([1]category_mergeDALY!P66)</f>
        <v>78226.365892355301</v>
      </c>
      <c r="C24">
        <f>SUM([1]pubmed_result!L67)</f>
        <v>402</v>
      </c>
      <c r="D24" s="5">
        <f>IF(OR(B24=0,C24=0),"",B24)</f>
        <v>78226.365892355301</v>
      </c>
      <c r="E24" s="5">
        <f>IF(OR(B24=0,C24=0),"",C24)</f>
        <v>402</v>
      </c>
      <c r="F24" s="5">
        <f>IF(D24="","",LOG10(D24))</f>
        <v>4.8933531549992333</v>
      </c>
      <c r="G24" s="5">
        <f>IF(E24="","",LOG10(E24))</f>
        <v>2.6042260530844699</v>
      </c>
      <c r="H24" s="5">
        <f>IF(OR(F24="",G24=""),"",IF(OR(ABS(F24-AVERAGE(F$2:F$68))&gt;_xlfn.STDEV.S(F$2:F$68)*2,ABS(G24-AVERAGE(G$2:G$68))&gt;_xlfn.STDEV.S(G$2:G$68)*2),"",F24))</f>
        <v>4.8933531549992333</v>
      </c>
      <c r="I24" s="5">
        <f>IF(OR(F24="",G24=""),"",IF(OR(ABS(F24-AVERAGE(F$2:F$68))&gt;_xlfn.STDEV.S(F$2:F$68)*2,ABS(G24-AVERAGE(G$2:G$68))&gt;_xlfn.STDEV.S(G$2:G$68)*2),"",G24))</f>
        <v>2.6042260530844699</v>
      </c>
      <c r="J24" s="5">
        <f>IF(OR(H24="",I24=""),"", (I24-(SLOPE(I$2:I$68,H$2:H$68)*H24+INTERCEPT(I$2:I$68,H$2:H$68))))</f>
        <v>0.64593389937941925</v>
      </c>
      <c r="K24" s="5">
        <f>IF(J24="","", J24/_xlfn.STDEV.S(J$2:J$68))</f>
        <v>1.3467232624421861</v>
      </c>
      <c r="L24" s="5">
        <f>IF(OR(K24&lt;-2,K24&gt;2),"",H24)</f>
        <v>4.8933531549992333</v>
      </c>
      <c r="M24" s="5">
        <f>IF(OR(K24&lt;-2,K24&gt;2),"",I24)</f>
        <v>2.6042260530844699</v>
      </c>
      <c r="N24" s="5">
        <f>IF(OR(M24="",L24=""),"", (M24-(SLOPE(M$2:M$68,L$2:L$68)*L24+INTERCEPT(M$2:M$68,L$2:L$68))))</f>
        <v>0.60945930475207066</v>
      </c>
      <c r="O24">
        <f>IF(AND(C24=0,B24=0),0,IF(AND(B24&gt;0,C24=0),-4.9,IF(AND(B24=0,C24&gt;0),4.9,(G24-(SLOPE(M$2:M$68,L$2:L$68)*F24+INTERCEPT(M$2:M$68,L$2:L$68)))/_xlfn.STDEV.S(N$2:N$68))))</f>
        <v>1.326140510830788</v>
      </c>
    </row>
    <row r="25" spans="1:15" x14ac:dyDescent="0.35">
      <c r="A25" s="2" t="s">
        <v>64</v>
      </c>
      <c r="B25">
        <f>SUM([1]category_mergeDALY!P70)</f>
        <v>0.23379069919957299</v>
      </c>
      <c r="C25">
        <f>SUM([1]pubmed_result!L71)</f>
        <v>5</v>
      </c>
      <c r="D25" s="5">
        <f>IF(OR(B25=0,C25=0),"",B25)</f>
        <v>0.23379069919957299</v>
      </c>
      <c r="E25" s="5">
        <f>IF(OR(B25=0,C25=0),"",C25)</f>
        <v>5</v>
      </c>
      <c r="F25" s="5">
        <f>IF(D25="","",LOG10(D25))</f>
        <v>-0.63117277019149398</v>
      </c>
      <c r="G25" s="5">
        <f>IF(E25="","",LOG10(E25))</f>
        <v>0.69897000433601886</v>
      </c>
      <c r="H25" s="5" t="str">
        <f>IF(OR(F25="",G25=""),"",IF(OR(ABS(F25-AVERAGE(F$2:F$68))&gt;_xlfn.STDEV.S(F$2:F$68)*2,ABS(G25-AVERAGE(G$2:G$68))&gt;_xlfn.STDEV.S(G$2:G$68)*2),"",F25))</f>
        <v/>
      </c>
      <c r="I25" s="5" t="str">
        <f>IF(OR(F25="",G25=""),"",IF(OR(ABS(F25-AVERAGE(F$2:F$68))&gt;_xlfn.STDEV.S(F$2:F$68)*2,ABS(G25-AVERAGE(G$2:G$68))&gt;_xlfn.STDEV.S(G$2:G$68)*2),"",G25))</f>
        <v/>
      </c>
      <c r="J25" s="5" t="str">
        <f>IF(OR(H25="",I25=""),"", (I25-(SLOPE(I$2:I$68,H$2:H$68)*H25+INTERCEPT(I$2:I$68,H$2:H$68))))</f>
        <v/>
      </c>
      <c r="K25" s="5" t="str">
        <f>IF(J25="","", J25/_xlfn.STDEV.S(J$2:J$68))</f>
        <v/>
      </c>
      <c r="L25" s="5" t="str">
        <f>IF(OR(K25&lt;-2,K25&gt;2),"",H25)</f>
        <v/>
      </c>
      <c r="M25" s="5" t="str">
        <f>IF(OR(K25&lt;-2,K25&gt;2),"",I25)</f>
        <v/>
      </c>
      <c r="N25" s="5" t="str">
        <f>IF(OR(M25="",L25=""),"", (M25-(SLOPE(M$2:M$68,L$2:L$68)*L25+INTERCEPT(M$2:M$68,L$2:L$68))))</f>
        <v/>
      </c>
      <c r="O25">
        <f>IF(AND(C25=0,B25=0),0,IF(AND(B25&gt;0,C25=0),-4.9,IF(AND(B25=0,C25&gt;0),4.9,(G25-(SLOPE(M$2:M$68,L$2:L$68)*F25+INTERCEPT(M$2:M$68,L$2:L$68)))/_xlfn.STDEV.S(N$2:N$68))))</f>
        <v>1.0905917415544149</v>
      </c>
    </row>
    <row r="26" spans="1:15" x14ac:dyDescent="0.35">
      <c r="A26" s="2" t="s">
        <v>23</v>
      </c>
      <c r="B26">
        <f>SUM([1]category_mergeDALY!P29)</f>
        <v>2833056.67492287</v>
      </c>
      <c r="C26">
        <f>SUM([1]pubmed_result!L30)</f>
        <v>84</v>
      </c>
      <c r="D26" s="5">
        <f>IF(OR(B26=0,C26=0),"",B26)</f>
        <v>2833056.67492287</v>
      </c>
      <c r="E26" s="5">
        <f>IF(OR(B26=0,C26=0),"",C26)</f>
        <v>84</v>
      </c>
      <c r="F26" s="5">
        <f>IF(D26="","",LOG10(D26))</f>
        <v>6.4522552626108247</v>
      </c>
      <c r="G26" s="5">
        <f>IF(E26="","",LOG10(E26))</f>
        <v>1.9242792860618816</v>
      </c>
      <c r="H26" s="5">
        <f>IF(OR(F26="",G26=""),"",IF(OR(ABS(F26-AVERAGE(F$2:F$68))&gt;_xlfn.STDEV.S(F$2:F$68)*2,ABS(G26-AVERAGE(G$2:G$68))&gt;_xlfn.STDEV.S(G$2:G$68)*2),"",F26))</f>
        <v>6.4522552626108247</v>
      </c>
      <c r="I26" s="5">
        <f>IF(OR(F26="",G26=""),"",IF(OR(ABS(F26-AVERAGE(F$2:F$68))&gt;_xlfn.STDEV.S(F$2:F$68)*2,ABS(G26-AVERAGE(G$2:G$68))&gt;_xlfn.STDEV.S(G$2:G$68)*2),"",G26))</f>
        <v>1.9242792860618816</v>
      </c>
      <c r="J26" s="5">
        <f>IF(OR(H26="",I26=""),"", (I26-(SLOPE(I$2:I$68,H$2:H$68)*H26+INTERCEPT(I$2:I$68,H$2:H$68))))</f>
        <v>-0.56118121098685325</v>
      </c>
      <c r="K26" s="5">
        <f>IF(J26="","", J26/_xlfn.STDEV.S(J$2:J$68))</f>
        <v>-1.1700203256208783</v>
      </c>
      <c r="L26" s="5">
        <f>IF(OR(K26&lt;-2,K26&gt;2),"",H26)</f>
        <v>6.4522552626108247</v>
      </c>
      <c r="M26" s="5">
        <f>IF(OR(K26&lt;-2,K26&gt;2),"",I26)</f>
        <v>1.9242792860618816</v>
      </c>
      <c r="N26" s="5">
        <f>IF(OR(M26="",L26=""),"", (M26-(SLOPE(M$2:M$68,L$2:L$68)*L26+INTERCEPT(M$2:M$68,L$2:L$68))))</f>
        <v>-0.57756325586245794</v>
      </c>
      <c r="O26">
        <f>IF(AND(C26=0,B26=0),0,IF(AND(B26&gt;0,C26=0),-4.9,IF(AND(B26=0,C26&gt;0),4.9,(G26-(SLOPE(M$2:M$68,L$2:L$68)*F26+INTERCEPT(M$2:M$68,L$2:L$68)))/_xlfn.STDEV.S(N$2:N$68))))</f>
        <v>-1.2567369555184904</v>
      </c>
    </row>
    <row r="27" spans="1:15" x14ac:dyDescent="0.35">
      <c r="A27" s="2" t="s">
        <v>29</v>
      </c>
      <c r="B27">
        <f>SUM([1]category_mergeDALY!P35)</f>
        <v>2333982.7624169202</v>
      </c>
      <c r="C27">
        <f>SUM([1]pubmed_result!L36)</f>
        <v>206</v>
      </c>
      <c r="D27" s="5">
        <f>IF(OR(B27=0,C27=0),"",B27)</f>
        <v>2333982.7624169202</v>
      </c>
      <c r="E27" s="5">
        <f>IF(OR(B27=0,C27=0),"",C27)</f>
        <v>206</v>
      </c>
      <c r="F27" s="5">
        <f>IF(D27="","",LOG10(D27))</f>
        <v>6.3680976442479729</v>
      </c>
      <c r="G27" s="5">
        <f>IF(E27="","",LOG10(E27))</f>
        <v>2.3138672203691533</v>
      </c>
      <c r="H27" s="5">
        <f>IF(OR(F27="",G27=""),"",IF(OR(ABS(F27-AVERAGE(F$2:F$68))&gt;_xlfn.STDEV.S(F$2:F$68)*2,ABS(G27-AVERAGE(G$2:G$68))&gt;_xlfn.STDEV.S(G$2:G$68)*2),"",F27))</f>
        <v>6.3680976442479729</v>
      </c>
      <c r="I27" s="5">
        <f>IF(OR(F27="",G27=""),"",IF(OR(ABS(F27-AVERAGE(F$2:F$68))&gt;_xlfn.STDEV.S(F$2:F$68)*2,ABS(G27-AVERAGE(G$2:G$68))&gt;_xlfn.STDEV.S(G$2:G$68)*2),"",G27))</f>
        <v>2.3138672203691533</v>
      </c>
      <c r="J27" s="5">
        <f>IF(OR(H27="",I27=""),"", (I27-(SLOPE(I$2:I$68,H$2:H$68)*H27+INTERCEPT(I$2:I$68,H$2:H$68))))</f>
        <v>-0.14313399624402745</v>
      </c>
      <c r="K27" s="5">
        <f>IF(J27="","", J27/_xlfn.STDEV.S(J$2:J$68))</f>
        <v>-0.29842354236763258</v>
      </c>
      <c r="L27" s="5">
        <f>IF(OR(K27&lt;-2,K27&gt;2),"",H27)</f>
        <v>6.3680976442479729</v>
      </c>
      <c r="M27" s="5">
        <f>IF(OR(K27&lt;-2,K27&gt;2),"",I27)</f>
        <v>2.3138672203691533</v>
      </c>
      <c r="N27" s="5">
        <f>IF(OR(M27="",L27=""),"", (M27-(SLOPE(M$2:M$68,L$2:L$68)*L27+INTERCEPT(M$2:M$68,L$2:L$68))))</f>
        <v>-0.16060074113106149</v>
      </c>
      <c r="O27">
        <f>IF(AND(C27=0,B27=0),0,IF(AND(B27&gt;0,C27=0),-4.9,IF(AND(B27=0,C27&gt;0),4.9,(G27-(SLOPE(M$2:M$68,L$2:L$68)*F27+INTERCEPT(M$2:M$68,L$2:L$68)))/_xlfn.STDEV.S(N$2:N$68))))</f>
        <v>-0.349455898404881</v>
      </c>
    </row>
    <row r="28" spans="1:15" x14ac:dyDescent="0.35">
      <c r="A28" s="2" t="s">
        <v>4</v>
      </c>
      <c r="B28">
        <f>SUM([1]category_mergeDALY!P7)</f>
        <v>21630866.063260701</v>
      </c>
      <c r="C28">
        <f>SUM([1]pubmed_result!L8)</f>
        <v>1813</v>
      </c>
      <c r="D28" s="5">
        <f>IF(OR(B28=0,C28=0),"",B28)</f>
        <v>21630866.063260701</v>
      </c>
      <c r="E28" s="5">
        <f>IF(OR(B28=0,C28=0),"",C28)</f>
        <v>1813</v>
      </c>
      <c r="F28" s="5">
        <f>IF(D28="","",LOG10(D28))</f>
        <v>7.3350739082030891</v>
      </c>
      <c r="G28" s="5">
        <f>IF(E28="","",LOG10(E28))</f>
        <v>3.2583978040955088</v>
      </c>
      <c r="H28" s="5">
        <f>IF(OR(F28="",G28=""),"",IF(OR(ABS(F28-AVERAGE(F$2:F$68))&gt;_xlfn.STDEV.S(F$2:F$68)*2,ABS(G28-AVERAGE(G$2:G$68))&gt;_xlfn.STDEV.S(G$2:G$68)*2),"",F28))</f>
        <v>7.3350739082030891</v>
      </c>
      <c r="I28" s="5">
        <f>IF(OR(F28="",G28=""),"",IF(OR(ABS(F28-AVERAGE(F$2:F$68))&gt;_xlfn.STDEV.S(F$2:F$68)*2,ABS(G28-AVERAGE(G$2:G$68))&gt;_xlfn.STDEV.S(G$2:G$68)*2),"",G28))</f>
        <v>3.2583978040955088</v>
      </c>
      <c r="J28" s="5">
        <f>IF(OR(H28="",I28=""),"", (I28-(SLOPE(I$2:I$68,H$2:H$68)*H28+INTERCEPT(I$2:I$68,H$2:H$68))))</f>
        <v>0.47439768701712159</v>
      </c>
      <c r="K28" s="5">
        <f>IF(J28="","", J28/_xlfn.STDEV.S(J$2:J$68))</f>
        <v>0.98908325042009881</v>
      </c>
      <c r="L28" s="5">
        <f>IF(OR(K28&lt;-2,K28&gt;2),"",H28)</f>
        <v>7.3350739082030891</v>
      </c>
      <c r="M28" s="5">
        <f>IF(OR(K28&lt;-2,K28&gt;2),"",I28)</f>
        <v>3.2583978040955088</v>
      </c>
      <c r="N28" s="5">
        <f>IF(OR(M28="",L28=""),"", (M28-(SLOPE(M$2:M$68,L$2:L$68)*L28+INTERCEPT(M$2:M$68,L$2:L$68))))</f>
        <v>0.46939421265708692</v>
      </c>
      <c r="O28">
        <f>IF(AND(C28=0,B28=0),0,IF(AND(B28&gt;0,C28=0),-4.9,IF(AND(B28=0,C28&gt;0),4.9,(G28-(SLOPE(M$2:M$68,L$2:L$68)*F28+INTERCEPT(M$2:M$68,L$2:L$68)))/_xlfn.STDEV.S(N$2:N$68))))</f>
        <v>1.0213687379952499</v>
      </c>
    </row>
    <row r="29" spans="1:15" x14ac:dyDescent="0.35">
      <c r="A29" s="2" t="s">
        <v>6</v>
      </c>
      <c r="B29">
        <f>SUM([1]category_mergeDALY!P9)</f>
        <v>14722869.6920656</v>
      </c>
      <c r="C29">
        <f>SUM([1]pubmed_result!L10)</f>
        <v>1527</v>
      </c>
      <c r="D29" s="5">
        <f>IF(OR(B29=0,C29=0),"",B29)</f>
        <v>14722869.6920656</v>
      </c>
      <c r="E29" s="5">
        <f>IF(OR(B29=0,C29=0),"",C29)</f>
        <v>1527</v>
      </c>
      <c r="F29" s="5">
        <f>IF(D29="","",LOG10(D29))</f>
        <v>7.1679924682868874</v>
      </c>
      <c r="G29" s="5">
        <f>IF(E29="","",LOG10(E29))</f>
        <v>3.1838390370564214</v>
      </c>
      <c r="H29" s="5">
        <f>IF(OR(F29="",G29=""),"",IF(OR(ABS(F29-AVERAGE(F$2:F$68))&gt;_xlfn.STDEV.S(F$2:F$68)*2,ABS(G29-AVERAGE(G$2:G$68))&gt;_xlfn.STDEV.S(G$2:G$68)*2),"",F29))</f>
        <v>7.1679924682868874</v>
      </c>
      <c r="I29" s="5">
        <f>IF(OR(F29="",G29=""),"",IF(OR(ABS(F29-AVERAGE(F$2:F$68))&gt;_xlfn.STDEV.S(F$2:F$68)*2,ABS(G29-AVERAGE(G$2:G$68))&gt;_xlfn.STDEV.S(G$2:G$68)*2),"",G29))</f>
        <v>3.1838390370564214</v>
      </c>
      <c r="J29" s="5">
        <f>IF(OR(H29="",I29=""),"", (I29-(SLOPE(I$2:I$68,H$2:H$68)*H29+INTERCEPT(I$2:I$68,H$2:H$68))))</f>
        <v>0.45634025220026686</v>
      </c>
      <c r="K29" s="5">
        <f>IF(J29="","", J29/_xlfn.STDEV.S(J$2:J$68))</f>
        <v>0.95143486634975416</v>
      </c>
      <c r="L29" s="5">
        <f>IF(OR(K29&lt;-2,K29&gt;2),"",H29)</f>
        <v>7.1679924682868874</v>
      </c>
      <c r="M29" s="5">
        <f>IF(OR(K29&lt;-2,K29&gt;2),"",I29)</f>
        <v>3.1838390370564214</v>
      </c>
      <c r="N29" s="5">
        <f>IF(OR(M29="",L29=""),"", (M29-(SLOPE(M$2:M$68,L$2:L$68)*L29+INTERCEPT(M$2:M$68,L$2:L$68))))</f>
        <v>0.44918328011403297</v>
      </c>
      <c r="O29">
        <f>IF(AND(C29=0,B29=0),0,IF(AND(B29&gt;0,C29=0),-4.9,IF(AND(B29=0,C29&gt;0),4.9,(G29-(SLOPE(M$2:M$68,L$2:L$68)*F29+INTERCEPT(M$2:M$68,L$2:L$68)))/_xlfn.STDEV.S(N$2:N$68))))</f>
        <v>0.97739117263850217</v>
      </c>
    </row>
    <row r="30" spans="1:15" x14ac:dyDescent="0.35">
      <c r="A30" s="2" t="s">
        <v>52</v>
      </c>
      <c r="B30">
        <f>SUM([1]category_mergeDALY!P58)</f>
        <v>352938.36167501198</v>
      </c>
      <c r="C30">
        <f>SUM([1]pubmed_result!L59)</f>
        <v>248</v>
      </c>
      <c r="D30" s="5">
        <f>IF(OR(B30=0,C30=0),"",B30)</f>
        <v>352938.36167501198</v>
      </c>
      <c r="E30" s="5">
        <f>IF(OR(B30=0,C30=0),"",C30)</f>
        <v>248</v>
      </c>
      <c r="F30" s="5">
        <f>IF(D30="","",LOG10(D30))</f>
        <v>5.5476988653826966</v>
      </c>
      <c r="G30" s="5">
        <f>IF(E30="","",LOG10(E30))</f>
        <v>2.3944516808262164</v>
      </c>
      <c r="H30" s="5">
        <f>IF(OR(F30="",G30=""),"",IF(OR(ABS(F30-AVERAGE(F$2:F$68))&gt;_xlfn.STDEV.S(F$2:F$68)*2,ABS(G30-AVERAGE(G$2:G$68))&gt;_xlfn.STDEV.S(G$2:G$68)*2),"",F30))</f>
        <v>5.5476988653826966</v>
      </c>
      <c r="I30" s="5">
        <f>IF(OR(F30="",G30=""),"",IF(OR(ABS(F30-AVERAGE(F$2:F$68))&gt;_xlfn.STDEV.S(F$2:F$68)*2,ABS(G30-AVERAGE(G$2:G$68))&gt;_xlfn.STDEV.S(G$2:G$68)*2),"",G30))</f>
        <v>2.3944516808262164</v>
      </c>
      <c r="J30" s="5">
        <f>IF(OR(H30="",I30=""),"", (I30-(SLOPE(I$2:I$68,H$2:H$68)*H30+INTERCEPT(I$2:I$68,H$2:H$68))))</f>
        <v>0.21488178143551906</v>
      </c>
      <c r="K30" s="5">
        <f>IF(J30="","", J30/_xlfn.STDEV.S(J$2:J$68))</f>
        <v>0.44801224089997255</v>
      </c>
      <c r="L30" s="5">
        <f>IF(OR(K30&lt;-2,K30&gt;2),"",H30)</f>
        <v>5.5476988653826966</v>
      </c>
      <c r="M30" s="5">
        <f>IF(OR(K30&lt;-2,K30&gt;2),"",I30)</f>
        <v>2.3944516808262164</v>
      </c>
      <c r="N30" s="5">
        <f>IF(OR(M30="",L30=""),"", (M30-(SLOPE(M$2:M$68,L$2:L$68)*L30+INTERCEPT(M$2:M$68,L$2:L$68))))</f>
        <v>0.18684099010891986</v>
      </c>
      <c r="O30">
        <f>IF(AND(C30=0,B30=0),0,IF(AND(B30&gt;0,C30=0),-4.9,IF(AND(B30=0,C30&gt;0),4.9,(G30-(SLOPE(M$2:M$68,L$2:L$68)*F30+INTERCEPT(M$2:M$68,L$2:L$68)))/_xlfn.STDEV.S(N$2:N$68))))</f>
        <v>0.40655283155939276</v>
      </c>
    </row>
    <row r="31" spans="1:15" x14ac:dyDescent="0.35">
      <c r="A31" s="2" t="s">
        <v>2</v>
      </c>
      <c r="B31">
        <f>SUM([1]category_mergeDALY!P5)</f>
        <v>45109790.072058685</v>
      </c>
      <c r="C31">
        <f>SUM([1]pubmed_result!L6)</f>
        <v>9537</v>
      </c>
      <c r="D31" s="5">
        <f>IF(OR(B31=0,C31=0),"",B31)</f>
        <v>45109790.072058685</v>
      </c>
      <c r="E31" s="5">
        <f>IF(OR(B31=0,C31=0),"",C31)</f>
        <v>9537</v>
      </c>
      <c r="F31" s="5">
        <f>IF(D31="","",LOG10(D31))</f>
        <v>7.6542708060212608</v>
      </c>
      <c r="G31" s="5">
        <f>IF(E31="","",LOG10(E31))</f>
        <v>3.9794117826344353</v>
      </c>
      <c r="H31" s="5" t="str">
        <f>IF(OR(F31="",G31=""),"",IF(OR(ABS(F31-AVERAGE(F$2:F$68))&gt;_xlfn.STDEV.S(F$2:F$68)*2,ABS(G31-AVERAGE(G$2:G$68))&gt;_xlfn.STDEV.S(G$2:G$68)*2),"",F31))</f>
        <v/>
      </c>
      <c r="I31" s="5" t="str">
        <f>IF(OR(F31="",G31=""),"",IF(OR(ABS(F31-AVERAGE(F$2:F$68))&gt;_xlfn.STDEV.S(F$2:F$68)*2,ABS(G31-AVERAGE(G$2:G$68))&gt;_xlfn.STDEV.S(G$2:G$68)*2),"",G31))</f>
        <v/>
      </c>
      <c r="J31" s="5" t="str">
        <f>IF(OR(H31="",I31=""),"", (I31-(SLOPE(I$2:I$68,H$2:H$68)*H31+INTERCEPT(I$2:I$68,H$2:H$68))))</f>
        <v/>
      </c>
      <c r="K31" s="5" t="str">
        <f>IF(J31="","", J31/_xlfn.STDEV.S(J$2:J$68))</f>
        <v/>
      </c>
      <c r="L31" s="5" t="str">
        <f>IF(OR(K31&lt;-2,K31&gt;2),"",H31)</f>
        <v/>
      </c>
      <c r="M31" s="5" t="str">
        <f>IF(OR(K31&lt;-2,K31&gt;2),"",I31)</f>
        <v/>
      </c>
      <c r="N31" s="5" t="str">
        <f>IF(OR(M31="",L31=""),"", (M31-(SLOPE(M$2:M$68,L$2:L$68)*L31+INTERCEPT(M$2:M$68,L$2:L$68))))</f>
        <v/>
      </c>
      <c r="O31">
        <f>IF(AND(C31=0,B31=0),0,IF(AND(B31&gt;0,C31=0),-4.9,IF(AND(B31=0,C31&gt;0),4.9,(G31-(SLOPE(M$2:M$68,L$2:L$68)*F31+INTERCEPT(M$2:M$68,L$2:L$68)))/_xlfn.STDEV.S(N$2:N$68))))</f>
        <v>2.3643228787029376</v>
      </c>
    </row>
    <row r="32" spans="1:15" x14ac:dyDescent="0.35">
      <c r="A32" s="2" t="s">
        <v>47</v>
      </c>
      <c r="B32">
        <f>SUM([1]category_mergeDALY!P53)</f>
        <v>455012.90731285798</v>
      </c>
      <c r="C32">
        <f>SUM([1]pubmed_result!L54)</f>
        <v>42</v>
      </c>
      <c r="D32" s="5">
        <f>IF(OR(B32=0,C32=0),"",B32)</f>
        <v>455012.90731285798</v>
      </c>
      <c r="E32" s="5">
        <f>IF(OR(B32=0,C32=0),"",C32)</f>
        <v>42</v>
      </c>
      <c r="F32" s="5">
        <f>IF(D32="","",LOG10(D32))</f>
        <v>5.6580237164268778</v>
      </c>
      <c r="G32" s="5">
        <f>IF(E32="","",LOG10(E32))</f>
        <v>1.6232492903979006</v>
      </c>
      <c r="H32" s="5">
        <f>IF(OR(F32="",G32=""),"",IF(OR(ABS(F32-AVERAGE(F$2:F$68))&gt;_xlfn.STDEV.S(F$2:F$68)*2,ABS(G32-AVERAGE(G$2:G$68))&gt;_xlfn.STDEV.S(G$2:G$68)*2),"",F32))</f>
        <v>5.6580237164268778</v>
      </c>
      <c r="I32" s="5">
        <f>IF(OR(F32="",G32=""),"",IF(OR(ABS(F32-AVERAGE(F$2:F$68))&gt;_xlfn.STDEV.S(F$2:F$68)*2,ABS(G32-AVERAGE(G$2:G$68))&gt;_xlfn.STDEV.S(G$2:G$68)*2),"",G32))</f>
        <v>1.6232492903979006</v>
      </c>
      <c r="J32" s="5">
        <f>IF(OR(H32="",I32=""),"", (I32-(SLOPE(I$2:I$68,H$2:H$68)*H32+INTERCEPT(I$2:I$68,H$2:H$68))))</f>
        <v>-0.59362876880002635</v>
      </c>
      <c r="K32" s="5">
        <f>IF(J32="","", J32/_xlfn.STDEV.S(J$2:J$68))</f>
        <v>-1.2376710263480279</v>
      </c>
      <c r="L32" s="5">
        <f>IF(OR(K32&lt;-2,K32&gt;2),"",H32)</f>
        <v>5.6580237164268778</v>
      </c>
      <c r="M32" s="5">
        <f>IF(OR(K32&lt;-2,K32&gt;2),"",I32)</f>
        <v>1.6232492903979006</v>
      </c>
      <c r="N32" s="5">
        <f>IF(OR(M32="",L32=""),"", (M32-(SLOPE(M$2:M$68,L$2:L$68)*L32+INTERCEPT(M$2:M$68,L$2:L$68))))</f>
        <v>-0.6202475929949911</v>
      </c>
      <c r="O32">
        <f>IF(AND(C32=0,B32=0),0,IF(AND(B32&gt;0,C32=0),-4.9,IF(AND(B32=0,C32&gt;0),4.9,(G32-(SLOPE(M$2:M$68,L$2:L$68)*F32+INTERCEPT(M$2:M$68,L$2:L$68)))/_xlfn.STDEV.S(N$2:N$68))))</f>
        <v>-1.3496150660142163</v>
      </c>
    </row>
    <row r="33" spans="1:15" x14ac:dyDescent="0.35">
      <c r="A33" s="2" t="s">
        <v>10</v>
      </c>
      <c r="B33">
        <f>SUM([1]category_mergeDALY!P13)</f>
        <v>4883726.3976478605</v>
      </c>
      <c r="C33">
        <f>SUM([1]pubmed_result!L14)</f>
        <v>2852</v>
      </c>
      <c r="D33" s="5">
        <f>IF(OR(B33=0,C33=0),"",B33)</f>
        <v>4883726.3976478605</v>
      </c>
      <c r="E33" s="5">
        <f>IF(OR(B33=0,C33=0),"",C33)</f>
        <v>2852</v>
      </c>
      <c r="F33" s="5">
        <f>IF(D33="","",LOG10(D33))</f>
        <v>6.688751325354712</v>
      </c>
      <c r="G33" s="5">
        <f>IF(E33="","",LOG10(E33))</f>
        <v>3.4551495211798278</v>
      </c>
      <c r="H33" s="5">
        <f>IF(OR(F33="",G33=""),"",IF(OR(ABS(F33-AVERAGE(F$2:F$68))&gt;_xlfn.STDEV.S(F$2:F$68)*2,ABS(G33-AVERAGE(G$2:G$68))&gt;_xlfn.STDEV.S(G$2:G$68)*2),"",F33))</f>
        <v>6.688751325354712</v>
      </c>
      <c r="I33" s="5">
        <f>IF(OR(F33="",G33=""),"",IF(OR(ABS(F33-AVERAGE(F$2:F$68))&gt;_xlfn.STDEV.S(F$2:F$68)*2,ABS(G33-AVERAGE(G$2:G$68))&gt;_xlfn.STDEV.S(G$2:G$68)*2),"",G33))</f>
        <v>3.4551495211798278</v>
      </c>
      <c r="J33" s="5">
        <f>IF(OR(H33="",I33=""),"", (I33-(SLOPE(I$2:I$68,H$2:H$68)*H33+INTERCEPT(I$2:I$68,H$2:H$68))))</f>
        <v>0.88971399747915525</v>
      </c>
      <c r="K33" s="5">
        <f>IF(J33="","", J33/_xlfn.STDEV.S(J$2:J$68))</f>
        <v>1.8549863050643041</v>
      </c>
      <c r="L33" s="5">
        <f>IF(OR(K33&lt;-2,K33&gt;2),"",H33)</f>
        <v>6.688751325354712</v>
      </c>
      <c r="M33" s="5">
        <f>IF(OR(K33&lt;-2,K33&gt;2),"",I33)</f>
        <v>3.4551495211798278</v>
      </c>
      <c r="N33" s="5">
        <f>IF(OR(M33="",L33=""),"", (M33-(SLOPE(M$2:M$68,L$2:L$68)*L33+INTERCEPT(M$2:M$68,L$2:L$68))))</f>
        <v>0.87638012919114461</v>
      </c>
      <c r="O33">
        <f>IF(AND(C33=0,B33=0),0,IF(AND(B33&gt;0,C33=0),-4.9,IF(AND(B33=0,C33&gt;0),4.9,(G33-(SLOPE(M$2:M$68,L$2:L$68)*F33+INTERCEPT(M$2:M$68,L$2:L$68)))/_xlfn.STDEV.S(N$2:N$68))))</f>
        <v>1.9069414202811839</v>
      </c>
    </row>
    <row r="34" spans="1:15" x14ac:dyDescent="0.35">
      <c r="A34" s="2" t="s">
        <v>12</v>
      </c>
      <c r="B34">
        <f>SUM([1]category_mergeDALY!P15)</f>
        <v>11383652.617514299</v>
      </c>
      <c r="C34">
        <f>SUM([1]pubmed_result!L16)</f>
        <v>610</v>
      </c>
      <c r="D34" s="5">
        <f>IF(OR(B34=0,C34=0),"",B34)</f>
        <v>11383652.617514299</v>
      </c>
      <c r="E34" s="5">
        <f>IF(OR(B34=0,C34=0),"",C34)</f>
        <v>610</v>
      </c>
      <c r="F34" s="5">
        <f>IF(D34="","",LOG10(D34))</f>
        <v>7.0562816343883732</v>
      </c>
      <c r="G34" s="5">
        <f>IF(E34="","",LOG10(E34))</f>
        <v>2.7853298350107671</v>
      </c>
      <c r="H34" s="5">
        <f>IF(OR(F34="",G34=""),"",IF(OR(ABS(F34-AVERAGE(F$2:F$68))&gt;_xlfn.STDEV.S(F$2:F$68)*2,ABS(G34-AVERAGE(G$2:G$68))&gt;_xlfn.STDEV.S(G$2:G$68)*2),"",F34))</f>
        <v>7.0562816343883732</v>
      </c>
      <c r="I34" s="5">
        <f>IF(OR(F34="",G34=""),"",IF(OR(ABS(F34-AVERAGE(F$2:F$68))&gt;_xlfn.STDEV.S(F$2:F$68)*2,ABS(G34-AVERAGE(G$2:G$68))&gt;_xlfn.STDEV.S(G$2:G$68)*2),"",G34))</f>
        <v>2.7853298350107671</v>
      </c>
      <c r="J34" s="5">
        <f>IF(OR(H34="",I34=""),"", (I34-(SLOPE(I$2:I$68,H$2:H$68)*H34+INTERCEPT(I$2:I$68,H$2:H$68))))</f>
        <v>9.5607902820523893E-2</v>
      </c>
      <c r="K34" s="5">
        <f>IF(J34="","", J34/_xlfn.STDEV.S(J$2:J$68))</f>
        <v>0.19933523681821783</v>
      </c>
      <c r="L34" s="5">
        <f>IF(OR(K34&lt;-2,K34&gt;2),"",H34)</f>
        <v>7.0562816343883732</v>
      </c>
      <c r="M34" s="5">
        <f>IF(OR(K34&lt;-2,K34&gt;2),"",I34)</f>
        <v>2.7853298350107671</v>
      </c>
      <c r="N34" s="5">
        <f>IF(OR(M34="",L34=""),"", (M34-(SLOPE(M$2:M$68,L$2:L$68)*L34+INTERCEPT(M$2:M$68,L$2:L$68))))</f>
        <v>8.7011099793683933E-2</v>
      </c>
      <c r="O34">
        <f>IF(AND(C34=0,B34=0),0,IF(AND(B34&gt;0,C34=0),-4.9,IF(AND(B34=0,C34&gt;0),4.9,(G34-(SLOPE(M$2:M$68,L$2:L$68)*F34+INTERCEPT(M$2:M$68,L$2:L$68)))/_xlfn.STDEV.S(N$2:N$68))))</f>
        <v>0.18933002323311013</v>
      </c>
    </row>
    <row r="35" spans="1:15" x14ac:dyDescent="0.35">
      <c r="A35" s="2" t="s">
        <v>44</v>
      </c>
      <c r="B35">
        <f>SUM([1]category_mergeDALY!P50)</f>
        <v>752192.82920007303</v>
      </c>
      <c r="C35">
        <f>SUM([1]pubmed_result!L51)</f>
        <v>403</v>
      </c>
      <c r="D35" s="5">
        <f>IF(OR(B35=0,C35=0),"",B35)</f>
        <v>752192.82920007303</v>
      </c>
      <c r="E35" s="5">
        <f>IF(OR(B35=0,C35=0),"",C35)</f>
        <v>403</v>
      </c>
      <c r="F35" s="5">
        <f>IF(D35="","",LOG10(D35))</f>
        <v>5.8763291888927043</v>
      </c>
      <c r="G35" s="5">
        <f>IF(E35="","",LOG10(E35))</f>
        <v>2.6053050461411096</v>
      </c>
      <c r="H35" s="5">
        <f>IF(OR(F35="",G35=""),"",IF(OR(ABS(F35-AVERAGE(F$2:F$68))&gt;_xlfn.STDEV.S(F$2:F$68)*2,ABS(G35-AVERAGE(G$2:G$68))&gt;_xlfn.STDEV.S(G$2:G$68)*2),"",F35))</f>
        <v>5.8763291888927043</v>
      </c>
      <c r="I35" s="5">
        <f>IF(OR(F35="",G35=""),"",IF(OR(ABS(F35-AVERAGE(F$2:F$68))&gt;_xlfn.STDEV.S(F$2:F$68)*2,ABS(G35-AVERAGE(G$2:G$68))&gt;_xlfn.STDEV.S(G$2:G$68)*2),"",G35))</f>
        <v>2.6053050461411096</v>
      </c>
      <c r="J35" s="5">
        <f>IF(OR(H35="",I35=""),"", (I35-(SLOPE(I$2:I$68,H$2:H$68)*H35+INTERCEPT(I$2:I$68,H$2:H$68))))</f>
        <v>0.31460340706555323</v>
      </c>
      <c r="K35" s="5">
        <f>IF(J35="","", J35/_xlfn.STDEV.S(J$2:J$68))</f>
        <v>0.65592427823621413</v>
      </c>
      <c r="L35" s="5">
        <f>IF(OR(K35&lt;-2,K35&gt;2),"",H35)</f>
        <v>5.8763291888927043</v>
      </c>
      <c r="M35" s="5">
        <f>IF(OR(K35&lt;-2,K35&gt;2),"",I35)</f>
        <v>2.6053050461411096</v>
      </c>
      <c r="N35" s="5">
        <f>IF(OR(M35="",L35=""),"", (M35-(SLOPE(M$2:M$68,L$2:L$68)*L35+INTERCEPT(M$2:M$68,L$2:L$68))))</f>
        <v>0.29079830256804717</v>
      </c>
      <c r="O35">
        <f>IF(AND(C35=0,B35=0),0,IF(AND(B35&gt;0,C35=0),-4.9,IF(AND(B35=0,C35&gt;0),4.9,(G35-(SLOPE(M$2:M$68,L$2:L$68)*F35+INTERCEPT(M$2:M$68,L$2:L$68)))/_xlfn.STDEV.S(N$2:N$68))))</f>
        <v>0.63275661969455876</v>
      </c>
    </row>
    <row r="36" spans="1:15" x14ac:dyDescent="0.35">
      <c r="A36" s="2" t="s">
        <v>36</v>
      </c>
      <c r="B36">
        <f>SUM([1]category_mergeDALY!P42)</f>
        <v>744519.72164209804</v>
      </c>
      <c r="C36">
        <f>SUM([1]pubmed_result!L43)</f>
        <v>176</v>
      </c>
      <c r="D36" s="5">
        <f>IF(OR(B36=0,C36=0),"",B36)</f>
        <v>744519.72164209804</v>
      </c>
      <c r="E36" s="5">
        <f>IF(OR(B36=0,C36=0),"",C36)</f>
        <v>176</v>
      </c>
      <c r="F36" s="5">
        <f>IF(D36="","",LOG10(D36))</f>
        <v>5.8718762063016223</v>
      </c>
      <c r="G36" s="5">
        <f>IF(E36="","",LOG10(E36))</f>
        <v>2.2455126678141499</v>
      </c>
      <c r="H36" s="5">
        <f>IF(OR(F36="",G36=""),"",IF(OR(ABS(F36-AVERAGE(F$2:F$68))&gt;_xlfn.STDEV.S(F$2:F$68)*2,ABS(G36-AVERAGE(G$2:G$68))&gt;_xlfn.STDEV.S(G$2:G$68)*2),"",F36))</f>
        <v>5.8718762063016223</v>
      </c>
      <c r="I36" s="5">
        <f>IF(OR(F36="",G36=""),"",IF(OR(ABS(F36-AVERAGE(F$2:F$68))&gt;_xlfn.STDEV.S(F$2:F$68)*2,ABS(G36-AVERAGE(G$2:G$68))&gt;_xlfn.STDEV.S(G$2:G$68)*2),"",G36))</f>
        <v>2.2455126678141499</v>
      </c>
      <c r="J36" s="5">
        <f>IF(OR(H36="",I36=""),"", (I36-(SLOPE(I$2:I$68,H$2:H$68)*H36+INTERCEPT(I$2:I$68,H$2:H$68))))</f>
        <v>-4.3683122084593684E-2</v>
      </c>
      <c r="K36" s="5">
        <f>IF(J36="","", J36/_xlfn.STDEV.S(J$2:J$68))</f>
        <v>-9.10760013430853E-2</v>
      </c>
      <c r="L36" s="5">
        <f>IF(OR(K36&lt;-2,K36&gt;2),"",H36)</f>
        <v>5.8718762063016223</v>
      </c>
      <c r="M36" s="5">
        <f>IF(OR(K36&lt;-2,K36&gt;2),"",I36)</f>
        <v>2.2455126678141499</v>
      </c>
      <c r="N36" s="5">
        <f>IF(OR(M36="",L36=""),"", (M36-(SLOPE(M$2:M$68,L$2:L$68)*L36+INTERCEPT(M$2:M$68,L$2:L$68))))</f>
        <v>-6.7545620676197959E-2</v>
      </c>
      <c r="O36">
        <f>IF(AND(C36=0,B36=0),0,IF(AND(B36&gt;0,C36=0),-4.9,IF(AND(B36=0,C36&gt;0),4.9,(G36-(SLOPE(M$2:M$68,L$2:L$68)*F36+INTERCEPT(M$2:M$68,L$2:L$68)))/_xlfn.STDEV.S(N$2:N$68))))</f>
        <v>-0.14697451201332482</v>
      </c>
    </row>
    <row r="37" spans="1:15" x14ac:dyDescent="0.35">
      <c r="A37" s="2" t="s">
        <v>45</v>
      </c>
      <c r="B37">
        <f>SUM([1]category_mergeDALY!P51)</f>
        <v>1086887.3338459141</v>
      </c>
      <c r="C37">
        <f>SUM([1]pubmed_result!L52)</f>
        <v>861</v>
      </c>
      <c r="D37" s="5">
        <f>IF(OR(B37=0,C37=0),"",B37)</f>
        <v>1086887.3338459141</v>
      </c>
      <c r="E37" s="5">
        <f>IF(OR(B37=0,C37=0),"",C37)</f>
        <v>861</v>
      </c>
      <c r="F37" s="5">
        <f>IF(D37="","",LOG10(D37))</f>
        <v>6.0361845276879755</v>
      </c>
      <c r="G37" s="5">
        <f>IF(E37="","",LOG10(E37))</f>
        <v>2.935003151453655</v>
      </c>
      <c r="H37" s="5">
        <f>IF(OR(F37="",G37=""),"",IF(OR(ABS(F37-AVERAGE(F$2:F$68))&gt;_xlfn.STDEV.S(F$2:F$68)*2,ABS(G37-AVERAGE(G$2:G$68))&gt;_xlfn.STDEV.S(G$2:G$68)*2),"",F37))</f>
        <v>6.0361845276879755</v>
      </c>
      <c r="I37" s="5">
        <f>IF(OR(F37="",G37=""),"",IF(OR(ABS(F37-AVERAGE(F$2:F$68))&gt;_xlfn.STDEV.S(F$2:F$68)*2,ABS(G37-AVERAGE(G$2:G$68))&gt;_xlfn.STDEV.S(G$2:G$68)*2),"",G37))</f>
        <v>2.935003151453655</v>
      </c>
      <c r="J37" s="5">
        <f>IF(OR(H37="",I37=""),"", (I37-(SLOPE(I$2:I$68,H$2:H$68)*H37+INTERCEPT(I$2:I$68,H$2:H$68))))</f>
        <v>0.59024380489545303</v>
      </c>
      <c r="K37" s="5">
        <f>IF(J37="","", J37/_xlfn.STDEV.S(J$2:J$68))</f>
        <v>1.2306136329565436</v>
      </c>
      <c r="L37" s="5">
        <f>IF(OR(K37&lt;-2,K37&gt;2),"",H37)</f>
        <v>6.0361845276879755</v>
      </c>
      <c r="M37" s="5">
        <f>IF(OR(K37&lt;-2,K37&gt;2),"",I37)</f>
        <v>2.935003151453655</v>
      </c>
      <c r="N37" s="5">
        <f>IF(OR(M37="",L37=""),"", (M37-(SLOPE(M$2:M$68,L$2:L$68)*L37+INTERCEPT(M$2:M$68,L$2:L$68))))</f>
        <v>0.56849906155349617</v>
      </c>
      <c r="O37">
        <f>IF(AND(C37=0,B37=0),0,IF(AND(B37&gt;0,C37=0),-4.9,IF(AND(B37=0,C37&gt;0),4.9,(G37-(SLOPE(M$2:M$68,L$2:L$68)*F37+INTERCEPT(M$2:M$68,L$2:L$68)))/_xlfn.STDEV.S(N$2:N$68))))</f>
        <v>1.2370139072732167</v>
      </c>
    </row>
    <row r="38" spans="1:15" x14ac:dyDescent="0.35">
      <c r="A38" s="2" t="s">
        <v>61</v>
      </c>
      <c r="B38">
        <f>SUM([1]category_mergeDALY!P67)</f>
        <v>18571.552795029202</v>
      </c>
      <c r="C38">
        <f>SUM([1]pubmed_result!L68)</f>
        <v>223</v>
      </c>
      <c r="D38" s="5">
        <f>IF(OR(B38=0,C38=0),"",B38)</f>
        <v>18571.552795029202</v>
      </c>
      <c r="E38" s="5">
        <f>IF(OR(B38=0,C38=0),"",C38)</f>
        <v>223</v>
      </c>
      <c r="F38" s="5">
        <f>IF(D38="","",LOG10(D38))</f>
        <v>4.268848217262633</v>
      </c>
      <c r="G38" s="5">
        <f>IF(E38="","",LOG10(E38))</f>
        <v>2.3483048630481607</v>
      </c>
      <c r="H38" s="5">
        <f>IF(OR(F38="",G38=""),"",IF(OR(ABS(F38-AVERAGE(F$2:F$68))&gt;_xlfn.STDEV.S(F$2:F$68)*2,ABS(G38-AVERAGE(G$2:G$68))&gt;_xlfn.STDEV.S(G$2:G$68)*2),"",F38))</f>
        <v>4.268848217262633</v>
      </c>
      <c r="I38" s="5">
        <f>IF(OR(F38="",G38=""),"",IF(OR(ABS(F38-AVERAGE(F$2:F$68))&gt;_xlfn.STDEV.S(F$2:F$68)*2,ABS(G38-AVERAGE(G$2:G$68))&gt;_xlfn.STDEV.S(G$2:G$68)*2),"",G38))</f>
        <v>2.3483048630481607</v>
      </c>
      <c r="J38" s="5">
        <f>IF(OR(H38="",I38=""),"", (I38-(SLOPE(I$2:I$68,H$2:H$68)*H38+INTERCEPT(I$2:I$68,H$2:H$68))))</f>
        <v>0.60119930780178676</v>
      </c>
      <c r="K38" s="5">
        <f>IF(J38="","", J38/_xlfn.STDEV.S(J$2:J$68))</f>
        <v>1.2534550268358362</v>
      </c>
      <c r="L38" s="5">
        <f>IF(OR(K38&lt;-2,K38&gt;2),"",H38)</f>
        <v>4.268848217262633</v>
      </c>
      <c r="M38" s="5">
        <f>IF(OR(K38&lt;-2,K38&gt;2),"",I38)</f>
        <v>2.3483048630481607</v>
      </c>
      <c r="N38" s="5">
        <f>IF(OR(M38="",L38=""),"", (M38-(SLOPE(M$2:M$68,L$2:L$68)*L38+INTERCEPT(M$2:M$68,L$2:L$68))))</f>
        <v>0.55667552492174743</v>
      </c>
      <c r="O38">
        <f>IF(AND(C38=0,B38=0),0,IF(AND(B38&gt;0,C38=0),-4.9,IF(AND(B38=0,C38&gt;0),4.9,(G38-(SLOPE(M$2:M$68,L$2:L$68)*F38+INTERCEPT(M$2:M$68,L$2:L$68)))/_xlfn.STDEV.S(N$2:N$68))))</f>
        <v>1.2112867245287799</v>
      </c>
    </row>
    <row r="39" spans="1:15" x14ac:dyDescent="0.35">
      <c r="A39" s="2" t="s">
        <v>35</v>
      </c>
      <c r="B39">
        <f>SUM([1]category_mergeDALY!P41)</f>
        <v>1494521.2999635199</v>
      </c>
      <c r="C39">
        <f>SUM([1]pubmed_result!L42)</f>
        <v>77</v>
      </c>
      <c r="D39" s="5">
        <f>IF(OR(B39=0,C39=0),"",B39)</f>
        <v>1494521.2999635199</v>
      </c>
      <c r="E39" s="5">
        <f>IF(OR(B39=0,C39=0),"",C39)</f>
        <v>77</v>
      </c>
      <c r="F39" s="5">
        <f>IF(D39="","",LOG10(D39))</f>
        <v>6.1745021089977161</v>
      </c>
      <c r="G39" s="5">
        <f>IF(E39="","",LOG10(E39))</f>
        <v>1.8864907251724818</v>
      </c>
      <c r="H39" s="5">
        <f>IF(OR(F39="",G39=""),"",IF(OR(ABS(F39-AVERAGE(F$2:F$68))&gt;_xlfn.STDEV.S(F$2:F$68)*2,ABS(G39-AVERAGE(G$2:G$68))&gt;_xlfn.STDEV.S(G$2:G$68)*2),"",F39))</f>
        <v>6.1745021089977161</v>
      </c>
      <c r="I39" s="5">
        <f>IF(OR(F39="",G39=""),"",IF(OR(ABS(F39-AVERAGE(F$2:F$68))&gt;_xlfn.STDEV.S(F$2:F$68)*2,ABS(G39-AVERAGE(G$2:G$68))&gt;_xlfn.STDEV.S(G$2:G$68)*2),"",G39))</f>
        <v>1.8864907251724818</v>
      </c>
      <c r="J39" s="5">
        <f>IF(OR(H39="",I39=""),"", (I39-(SLOPE(I$2:I$68,H$2:H$68)*H39+INTERCEPT(I$2:I$68,H$2:H$68))))</f>
        <v>-0.50504298254562485</v>
      </c>
      <c r="K39" s="5">
        <f>IF(J39="","", J39/_xlfn.STDEV.S(J$2:J$68))</f>
        <v>-1.0529763707723543</v>
      </c>
      <c r="L39" s="5">
        <f>IF(OR(K39&lt;-2,K39&gt;2),"",H39)</f>
        <v>6.1745021089977161</v>
      </c>
      <c r="M39" s="5">
        <f>IF(OR(K39&lt;-2,K39&gt;2),"",I39)</f>
        <v>1.8864907251724818</v>
      </c>
      <c r="N39" s="5">
        <f>IF(OR(M39="",L39=""),"", (M39-(SLOPE(M$2:M$68,L$2:L$68)*L39+INTERCEPT(M$2:M$68,L$2:L$68))))</f>
        <v>-0.52500496296075205</v>
      </c>
      <c r="O39">
        <f>IF(AND(C39=0,B39=0),0,IF(AND(B39&gt;0,C39=0),-4.9,IF(AND(B39=0,C39&gt;0),4.9,(G39-(SLOPE(M$2:M$68,L$2:L$68)*F39+INTERCEPT(M$2:M$68,L$2:L$68)))/_xlfn.STDEV.S(N$2:N$68))))</f>
        <v>-1.142373812887636</v>
      </c>
    </row>
    <row r="40" spans="1:15" x14ac:dyDescent="0.35">
      <c r="A40" s="2" t="s">
        <v>1</v>
      </c>
      <c r="B40">
        <f>SUM([1]category_mergeDALY!P4)</f>
        <v>51578852.399788797</v>
      </c>
      <c r="C40">
        <f>SUM([1]pubmed_result!L5)</f>
        <v>2319</v>
      </c>
      <c r="D40" s="5">
        <f>IF(OR(B40=0,C40=0),"",B40)</f>
        <v>51578852.399788797</v>
      </c>
      <c r="E40" s="5">
        <f>IF(OR(B40=0,C40=0),"",C40)</f>
        <v>2319</v>
      </c>
      <c r="F40" s="5">
        <f>IF(D40="","",LOG10(D40))</f>
        <v>7.7124716751035152</v>
      </c>
      <c r="G40" s="5">
        <f>IF(E40="","",LOG10(E40))</f>
        <v>3.3653007486379876</v>
      </c>
      <c r="H40" s="5">
        <f>IF(OR(F40="",G40=""),"",IF(OR(ABS(F40-AVERAGE(F$2:F$68))&gt;_xlfn.STDEV.S(F$2:F$68)*2,ABS(G40-AVERAGE(G$2:G$68))&gt;_xlfn.STDEV.S(G$2:G$68)*2),"",F40))</f>
        <v>7.7124716751035152</v>
      </c>
      <c r="I40" s="5">
        <f>IF(OR(F40="",G40=""),"",IF(OR(ABS(F40-AVERAGE(F$2:F$68))&gt;_xlfn.STDEV.S(F$2:F$68)*2,ABS(G40-AVERAGE(G$2:G$68))&gt;_xlfn.STDEV.S(G$2:G$68)*2),"",G40))</f>
        <v>3.3653007486379876</v>
      </c>
      <c r="J40" s="5">
        <f>IF(OR(H40="",I40=""),"", (I40-(SLOPE(I$2:I$68,H$2:H$68)*H40+INTERCEPT(I$2:I$68,H$2:H$68))))</f>
        <v>0.45367738017833181</v>
      </c>
      <c r="K40" s="5">
        <f>IF(J40="","", J40/_xlfn.STDEV.S(J$2:J$68))</f>
        <v>0.94588297984822245</v>
      </c>
      <c r="L40" s="5">
        <f>IF(OR(K40&lt;-2,K40&gt;2),"",H40)</f>
        <v>7.7124716751035152</v>
      </c>
      <c r="M40" s="5">
        <f>IF(OR(K40&lt;-2,K40&gt;2),"",I40)</f>
        <v>3.3653007486379876</v>
      </c>
      <c r="N40" s="5">
        <f>IF(OR(M40="",L40=""),"", (M40-(SLOPE(M$2:M$68,L$2:L$68)*L40+INTERCEPT(M$2:M$68,L$2:L$68))))</f>
        <v>0.4535381518608288</v>
      </c>
      <c r="O40">
        <f>IF(AND(C40=0,B40=0),0,IF(AND(B40&gt;0,C40=0),-4.9,IF(AND(B40=0,C40&gt;0),4.9,(G40-(SLOPE(M$2:M$68,L$2:L$68)*F40+INTERCEPT(M$2:M$68,L$2:L$68)))/_xlfn.STDEV.S(N$2:N$68))))</f>
        <v>0.98686706675951785</v>
      </c>
    </row>
    <row r="41" spans="1:15" x14ac:dyDescent="0.35">
      <c r="A41" s="2" t="s">
        <v>14</v>
      </c>
      <c r="B41">
        <f>SUM([1]category_mergeDALY!P17)</f>
        <v>12478557.9491187</v>
      </c>
      <c r="C41">
        <f>SUM([1]pubmed_result!L18)</f>
        <v>289</v>
      </c>
      <c r="D41" s="5">
        <f>IF(OR(B41=0,C41=0),"",B41)</f>
        <v>12478557.9491187</v>
      </c>
      <c r="E41" s="5">
        <f>IF(OR(B41=0,C41=0),"",C41)</f>
        <v>289</v>
      </c>
      <c r="F41" s="5">
        <f>IF(D41="","",LOG10(D41))</f>
        <v>7.0961644001760646</v>
      </c>
      <c r="G41" s="5">
        <f>IF(E41="","",LOG10(E41))</f>
        <v>2.4608978427565478</v>
      </c>
      <c r="H41" s="5">
        <f>IF(OR(F41="",G41=""),"",IF(OR(ABS(F41-AVERAGE(F$2:F$68))&gt;_xlfn.STDEV.S(F$2:F$68)*2,ABS(G41-AVERAGE(G$2:G$68))&gt;_xlfn.STDEV.S(G$2:G$68)*2),"",F41))</f>
        <v>7.0961644001760646</v>
      </c>
      <c r="I41" s="5">
        <f>IF(OR(F41="",G41=""),"",IF(OR(ABS(F41-AVERAGE(F$2:F$68))&gt;_xlfn.STDEV.S(F$2:F$68)*2,ABS(G41-AVERAGE(G$2:G$68))&gt;_xlfn.STDEV.S(G$2:G$68)*2),"",G41))</f>
        <v>2.4608978427565478</v>
      </c>
      <c r="J41" s="5">
        <f>IF(OR(H41="",I41=""),"", (I41-(SLOPE(I$2:I$68,H$2:H$68)*H41+INTERCEPT(I$2:I$68,H$2:H$68))))</f>
        <v>-0.24231110152098712</v>
      </c>
      <c r="K41" s="5">
        <f>IF(J41="","", J41/_xlfn.STDEV.S(J$2:J$68))</f>
        <v>-0.50520029600524308</v>
      </c>
      <c r="L41" s="5">
        <f>IF(OR(K41&lt;-2,K41&gt;2),"",H41)</f>
        <v>7.0961644001760646</v>
      </c>
      <c r="M41" s="5">
        <f>IF(OR(K41&lt;-2,K41&gt;2),"",I41)</f>
        <v>2.4608978427565478</v>
      </c>
      <c r="N41" s="5">
        <f>IF(OR(M41="",L41=""),"", (M41-(SLOPE(M$2:M$68,L$2:L$68)*L41+INTERCEPT(M$2:M$68,L$2:L$68))))</f>
        <v>-0.2503938591488799</v>
      </c>
      <c r="O41">
        <f>IF(AND(C41=0,B41=0),0,IF(AND(B41&gt;0,C41=0),-4.9,IF(AND(B41=0,C41&gt;0),4.9,(G41-(SLOPE(M$2:M$68,L$2:L$68)*F41+INTERCEPT(M$2:M$68,L$2:L$68)))/_xlfn.STDEV.S(N$2:N$68))))</f>
        <v>-0.54483939730097264</v>
      </c>
    </row>
    <row r="42" spans="1:15" x14ac:dyDescent="0.35">
      <c r="A42" s="2" t="s">
        <v>26</v>
      </c>
      <c r="B42">
        <f>SUM([1]category_mergeDALY!P32)</f>
        <v>3433998.9358164701</v>
      </c>
      <c r="C42">
        <f>SUM([1]pubmed_result!L33)</f>
        <v>278</v>
      </c>
      <c r="D42" s="5">
        <f>IF(OR(B42=0,C42=0),"",B42)</f>
        <v>3433998.9358164701</v>
      </c>
      <c r="E42" s="5">
        <f>IF(OR(B42=0,C42=0),"",C42)</f>
        <v>278</v>
      </c>
      <c r="F42" s="5">
        <f>IF(D42="","",LOG10(D42))</f>
        <v>6.5358001562386701</v>
      </c>
      <c r="G42" s="5">
        <f>IF(E42="","",LOG10(E42))</f>
        <v>2.4440447959180762</v>
      </c>
      <c r="H42" s="5">
        <f>IF(OR(F42="",G42=""),"",IF(OR(ABS(F42-AVERAGE(F$2:F$68))&gt;_xlfn.STDEV.S(F$2:F$68)*2,ABS(G42-AVERAGE(G$2:G$68))&gt;_xlfn.STDEV.S(G$2:G$68)*2),"",F42))</f>
        <v>6.5358001562386701</v>
      </c>
      <c r="I42" s="5">
        <f>IF(OR(F42="",G42=""),"",IF(OR(ABS(F42-AVERAGE(F$2:F$68))&gt;_xlfn.STDEV.S(F$2:F$68)*2,ABS(G42-AVERAGE(G$2:G$68))&gt;_xlfn.STDEV.S(G$2:G$68)*2),"",G42))</f>
        <v>2.4440447959180762</v>
      </c>
      <c r="J42" s="5">
        <f>IF(OR(H42="",I42=""),"", (I42-(SLOPE(I$2:I$68,H$2:H$68)*H42+INTERCEPT(I$2:I$68,H$2:H$68))))</f>
        <v>-6.9667778636726574E-2</v>
      </c>
      <c r="K42" s="5">
        <f>IF(J42="","", J42/_xlfn.STDEV.S(J$2:J$68))</f>
        <v>-0.14525204238838224</v>
      </c>
      <c r="L42" s="5">
        <f>IF(OR(K42&lt;-2,K42&gt;2),"",H42)</f>
        <v>6.5358001562386701</v>
      </c>
      <c r="M42" s="5">
        <f>IF(OR(K42&lt;-2,K42&gt;2),"",I42)</f>
        <v>2.4440447959180762</v>
      </c>
      <c r="N42" s="5">
        <f>IF(OR(M42="",L42=""),"", (M42-(SLOPE(M$2:M$68,L$2:L$68)*L42+INTERCEPT(M$2:M$68,L$2:L$68))))</f>
        <v>-8.4973020855175552E-2</v>
      </c>
      <c r="O42">
        <f>IF(AND(C42=0,B42=0),0,IF(AND(B42&gt;0,C42=0),-4.9,IF(AND(B42=0,C42&gt;0),4.9,(G42-(SLOPE(M$2:M$68,L$2:L$68)*F42+INTERCEPT(M$2:M$68,L$2:L$68)))/_xlfn.STDEV.S(N$2:N$68))))</f>
        <v>-0.18489530704524837</v>
      </c>
    </row>
    <row r="43" spans="1:15" x14ac:dyDescent="0.35">
      <c r="A43" s="2" t="s">
        <v>30</v>
      </c>
      <c r="B43">
        <f>SUM([1]category_mergeDALY!P36)</f>
        <v>2425167.6711424598</v>
      </c>
      <c r="C43">
        <f>SUM([1]pubmed_result!L37)</f>
        <v>180</v>
      </c>
      <c r="D43" s="5">
        <f>IF(OR(B43=0,C43=0),"",B43)</f>
        <v>2425167.6711424598</v>
      </c>
      <c r="E43" s="5">
        <f>IF(OR(B43=0,C43=0),"",C43)</f>
        <v>180</v>
      </c>
      <c r="F43" s="5">
        <f>IF(D43="","",LOG10(D43))</f>
        <v>6.3847417702102911</v>
      </c>
      <c r="G43" s="5">
        <f>IF(E43="","",LOG10(E43))</f>
        <v>2.255272505103306</v>
      </c>
      <c r="H43" s="5">
        <f>IF(OR(F43="",G43=""),"",IF(OR(ABS(F43-AVERAGE(F$2:F$68))&gt;_xlfn.STDEV.S(F$2:F$68)*2,ABS(G43-AVERAGE(G$2:G$68))&gt;_xlfn.STDEV.S(G$2:G$68)*2),"",F43))</f>
        <v>6.3847417702102911</v>
      </c>
      <c r="I43" s="5">
        <f>IF(OR(F43="",G43=""),"",IF(OR(ABS(F43-AVERAGE(F$2:F$68))&gt;_xlfn.STDEV.S(F$2:F$68)*2,ABS(G43-AVERAGE(G$2:G$68))&gt;_xlfn.STDEV.S(G$2:G$68)*2),"",G43))</f>
        <v>2.255272505103306</v>
      </c>
      <c r="J43" s="5">
        <f>IF(OR(H43="",I43=""),"", (I43-(SLOPE(I$2:I$68,H$2:H$68)*H43+INTERCEPT(I$2:I$68,H$2:H$68))))</f>
        <v>-0.20735719598437585</v>
      </c>
      <c r="K43" s="5">
        <f>IF(J43="","", J43/_xlfn.STDEV.S(J$2:J$68))</f>
        <v>-0.4323240500850542</v>
      </c>
      <c r="L43" s="5">
        <f>IF(OR(K43&lt;-2,K43&gt;2),"",H43)</f>
        <v>6.3847417702102911</v>
      </c>
      <c r="M43" s="5">
        <f>IF(OR(K43&lt;-2,K43&gt;2),"",I43)</f>
        <v>2.255272505103306</v>
      </c>
      <c r="N43" s="5">
        <f>IF(OR(M43="",L43=""),"", (M43-(SLOPE(M$2:M$68,L$2:L$68)*L43+INTERCEPT(M$2:M$68,L$2:L$68))))</f>
        <v>-0.22460941622144048</v>
      </c>
      <c r="O43">
        <f>IF(AND(C43=0,B43=0),0,IF(AND(B43&gt;0,C43=0),-4.9,IF(AND(B43=0,C43&gt;0),4.9,(G43-(SLOPE(M$2:M$68,L$2:L$68)*F43+INTERCEPT(M$2:M$68,L$2:L$68)))/_xlfn.STDEV.S(N$2:N$68))))</f>
        <v>-0.48873426600070979</v>
      </c>
    </row>
    <row r="44" spans="1:15" x14ac:dyDescent="0.35">
      <c r="A44" s="2" t="s">
        <v>34</v>
      </c>
      <c r="B44">
        <f>SUM([1]category_mergeDALY!P40)</f>
        <v>1696470.7920514699</v>
      </c>
      <c r="C44">
        <f>SUM([1]pubmed_result!L41)</f>
        <v>220</v>
      </c>
      <c r="D44" s="5">
        <f>IF(OR(B44=0,C44=0),"",B44)</f>
        <v>1696470.7920514699</v>
      </c>
      <c r="E44" s="5">
        <f>IF(OR(B44=0,C44=0),"",C44)</f>
        <v>220</v>
      </c>
      <c r="F44" s="5">
        <f>IF(D44="","",LOG10(D44))</f>
        <v>6.2295463868458167</v>
      </c>
      <c r="G44" s="5">
        <f>IF(E44="","",LOG10(E44))</f>
        <v>2.3424226808222062</v>
      </c>
      <c r="H44" s="5">
        <f>IF(OR(F44="",G44=""),"",IF(OR(ABS(F44-AVERAGE(F$2:F$68))&gt;_xlfn.STDEV.S(F$2:F$68)*2,ABS(G44-AVERAGE(G$2:G$68))&gt;_xlfn.STDEV.S(G$2:G$68)*2),"",F44))</f>
        <v>6.2295463868458167</v>
      </c>
      <c r="I44" s="5">
        <f>IF(OR(F44="",G44=""),"",IF(OR(ABS(F44-AVERAGE(F$2:F$68))&gt;_xlfn.STDEV.S(F$2:F$68)*2,ABS(G44-AVERAGE(G$2:G$68))&gt;_xlfn.STDEV.S(G$2:G$68)*2),"",G44))</f>
        <v>2.3424226808222062</v>
      </c>
      <c r="J44" s="5">
        <f>IF(OR(H44="",I44=""),"", (I44-(SLOPE(I$2:I$68,H$2:H$68)*H44+INTERCEPT(I$2:I$68,H$2:H$68))))</f>
        <v>-6.7725153223685552E-2</v>
      </c>
      <c r="K44" s="5">
        <f>IF(J44="","", J44/_xlfn.STDEV.S(J$2:J$68))</f>
        <v>-0.14120181552079225</v>
      </c>
      <c r="L44" s="5">
        <f>IF(OR(K44&lt;-2,K44&gt;2),"",H44)</f>
        <v>6.2295463868458167</v>
      </c>
      <c r="M44" s="5">
        <f>IF(OR(K44&lt;-2,K44&gt;2),"",I44)</f>
        <v>2.3424226808222062</v>
      </c>
      <c r="N44" s="5">
        <f>IF(OR(M44="",L44=""),"", (M44-(SLOPE(M$2:M$68,L$2:L$68)*L44+INTERCEPT(M$2:M$68,L$2:L$68))))</f>
        <v>-8.6977672867792233E-2</v>
      </c>
      <c r="O44">
        <f>IF(AND(C44=0,B44=0),0,IF(AND(B44&gt;0,C44=0),-4.9,IF(AND(B44=0,C44&gt;0),4.9,(G44-(SLOPE(M$2:M$68,L$2:L$68)*F44+INTERCEPT(M$2:M$68,L$2:L$68)))/_xlfn.STDEV.S(N$2:N$68))))</f>
        <v>-0.18925728859729132</v>
      </c>
    </row>
    <row r="45" spans="1:15" x14ac:dyDescent="0.35">
      <c r="A45" s="2" t="s">
        <v>17</v>
      </c>
      <c r="B45">
        <f>SUM([1]category_mergeDALY!P21)</f>
        <v>4990406.5640745703</v>
      </c>
      <c r="C45">
        <f>SUM([1]pubmed_result!L22)</f>
        <v>271</v>
      </c>
      <c r="D45" s="5">
        <f>IF(OR(B45=0,C45=0),"",B45)</f>
        <v>4990406.5640745703</v>
      </c>
      <c r="E45" s="5">
        <f>IF(OR(B45=0,C45=0),"",C45)</f>
        <v>271</v>
      </c>
      <c r="F45" s="5">
        <f>IF(D45="","",LOG10(D45))</f>
        <v>6.6981359286577566</v>
      </c>
      <c r="G45" s="5">
        <f>IF(E45="","",LOG10(E45))</f>
        <v>2.4329692908744058</v>
      </c>
      <c r="H45" s="5">
        <f>IF(OR(F45="",G45=""),"",IF(OR(ABS(F45-AVERAGE(F$2:F$68))&gt;_xlfn.STDEV.S(F$2:F$68)*2,ABS(G45-AVERAGE(G$2:G$68))&gt;_xlfn.STDEV.S(G$2:G$68)*2),"",F45))</f>
        <v>6.6981359286577566</v>
      </c>
      <c r="I45" s="5">
        <f>IF(OR(F45="",G45=""),"",IF(OR(ABS(F45-AVERAGE(F$2:F$68))&gt;_xlfn.STDEV.S(F$2:F$68)*2,ABS(G45-AVERAGE(G$2:G$68))&gt;_xlfn.STDEV.S(G$2:G$68)*2),"",G45))</f>
        <v>2.4329692908744058</v>
      </c>
      <c r="J45" s="5">
        <f>IF(OR(H45="",I45=""),"", (I45-(SLOPE(I$2:I$68,H$2:H$68)*H45+INTERCEPT(I$2:I$68,H$2:H$68))))</f>
        <v>-0.13563979051924013</v>
      </c>
      <c r="K45" s="5">
        <f>IF(J45="","", J45/_xlfn.STDEV.S(J$2:J$68))</f>
        <v>-0.28279869098145366</v>
      </c>
      <c r="L45" s="5">
        <f>IF(OR(K45&lt;-2,K45&gt;2),"",H45)</f>
        <v>6.6981359286577566</v>
      </c>
      <c r="M45" s="5">
        <f>IF(OR(K45&lt;-2,K45&gt;2),"",I45)</f>
        <v>2.4329692908744058</v>
      </c>
      <c r="N45" s="5">
        <f>IF(OR(M45="",L45=""),"", (M45-(SLOPE(M$2:M$68,L$2:L$68)*L45+INTERCEPT(M$2:M$68,L$2:L$68))))</f>
        <v>-0.14885270149514884</v>
      </c>
      <c r="O45">
        <f>IF(AND(C45=0,B45=0),0,IF(AND(B45&gt;0,C45=0),-4.9,IF(AND(B45=0,C45&gt;0),4.9,(G45-(SLOPE(M$2:M$68,L$2:L$68)*F45+INTERCEPT(M$2:M$68,L$2:L$68)))/_xlfn.STDEV.S(N$2:N$68))))</f>
        <v>-0.3238929918046326</v>
      </c>
    </row>
    <row r="46" spans="1:15" x14ac:dyDescent="0.35">
      <c r="A46" s="2" t="s">
        <v>40</v>
      </c>
      <c r="B46">
        <f>SUM([1]category_mergeDALY!P46)</f>
        <v>871956.86007010704</v>
      </c>
      <c r="C46">
        <f>SUM([1]pubmed_result!L47)</f>
        <v>71</v>
      </c>
      <c r="D46" s="5">
        <f>IF(OR(B46=0,C46=0),"",B46)</f>
        <v>871956.86007010704</v>
      </c>
      <c r="E46" s="5">
        <f>IF(OR(B46=0,C46=0),"",C46)</f>
        <v>71</v>
      </c>
      <c r="F46" s="5">
        <f>IF(D46="","",LOG10(D46))</f>
        <v>5.9404949988121993</v>
      </c>
      <c r="G46" s="5">
        <f>IF(E46="","",LOG10(E46))</f>
        <v>1.8512583487190752</v>
      </c>
      <c r="H46" s="5">
        <f>IF(OR(F46="",G46=""),"",IF(OR(ABS(F46-AVERAGE(F$2:F$68))&gt;_xlfn.STDEV.S(F$2:F$68)*2,ABS(G46-AVERAGE(G$2:G$68))&gt;_xlfn.STDEV.S(G$2:G$68)*2),"",F46))</f>
        <v>5.9404949988121993</v>
      </c>
      <c r="I46" s="5">
        <f>IF(OR(F46="",G46=""),"",IF(OR(ABS(F46-AVERAGE(F$2:F$68))&gt;_xlfn.STDEV.S(F$2:F$68)*2,ABS(G46-AVERAGE(G$2:G$68))&gt;_xlfn.STDEV.S(G$2:G$68)*2),"",G46))</f>
        <v>1.8512583487190752</v>
      </c>
      <c r="J46" s="5">
        <f>IF(OR(H46="",I46=""),"", (I46-(SLOPE(I$2:I$68,H$2:H$68)*H46+INTERCEPT(I$2:I$68,H$2:H$68))))</f>
        <v>-0.46114201252088427</v>
      </c>
      <c r="K46" s="5">
        <f>IF(J46="","", J46/_xlfn.STDEV.S(J$2:J$68))</f>
        <v>-0.96144617297208834</v>
      </c>
      <c r="L46" s="5">
        <f>IF(OR(K46&lt;-2,K46&gt;2),"",H46)</f>
        <v>5.9404949988121993</v>
      </c>
      <c r="M46" s="5">
        <f>IF(OR(K46&lt;-2,K46&gt;2),"",I46)</f>
        <v>1.8512583487190752</v>
      </c>
      <c r="N46" s="5">
        <f>IF(OR(M46="",L46=""),"", (M46-(SLOPE(M$2:M$68,L$2:L$68)*L46+INTERCEPT(M$2:M$68,L$2:L$68))))</f>
        <v>-0.48412008963682873</v>
      </c>
      <c r="O46">
        <f>IF(AND(C46=0,B46=0),0,IF(AND(B46&gt;0,C46=0),-4.9,IF(AND(B46=0,C46&gt;0),4.9,(G46-(SLOPE(M$2:M$68,L$2:L$68)*F46+INTERCEPT(M$2:M$68,L$2:L$68)))/_xlfn.STDEV.S(N$2:N$68))))</f>
        <v>-1.0534112088675101</v>
      </c>
    </row>
    <row r="47" spans="1:15" x14ac:dyDescent="0.35">
      <c r="A47" s="2" t="s">
        <v>24</v>
      </c>
      <c r="B47">
        <f>SUM([1]category_mergeDALY!P30)</f>
        <v>7681302.6516228402</v>
      </c>
      <c r="C47">
        <f>SUM([1]pubmed_result!L31)</f>
        <v>846</v>
      </c>
      <c r="D47" s="5">
        <f>IF(OR(B47=0,C47=0),"",B47)</f>
        <v>7681302.6516228402</v>
      </c>
      <c r="E47" s="5">
        <f>IF(OR(B47=0,C47=0),"",C47)</f>
        <v>846</v>
      </c>
      <c r="F47" s="5">
        <f>IF(D47="","",LOG10(D47))</f>
        <v>6.8854348771198239</v>
      </c>
      <c r="G47" s="5">
        <f>IF(E47="","",LOG10(E47))</f>
        <v>2.9273703630390235</v>
      </c>
      <c r="H47" s="5">
        <f>IF(OR(F47="",G47=""),"",IF(OR(ABS(F47-AVERAGE(F$2:F$68))&gt;_xlfn.STDEV.S(F$2:F$68)*2,ABS(G47-AVERAGE(G$2:G$68))&gt;_xlfn.STDEV.S(G$2:G$68)*2),"",F47))</f>
        <v>6.8854348771198239</v>
      </c>
      <c r="I47" s="5">
        <f>IF(OR(F47="",G47=""),"",IF(OR(ABS(F47-AVERAGE(F$2:F$68))&gt;_xlfn.STDEV.S(F$2:F$68)*2,ABS(G47-AVERAGE(G$2:G$68))&gt;_xlfn.STDEV.S(G$2:G$68)*2),"",G47))</f>
        <v>2.9273703630390235</v>
      </c>
      <c r="J47" s="5">
        <f>IF(OR(H47="",I47=""),"", (I47-(SLOPE(I$2:I$68,H$2:H$68)*H47+INTERCEPT(I$2:I$68,H$2:H$68))))</f>
        <v>0.29542306695655407</v>
      </c>
      <c r="K47" s="5">
        <f>IF(J47="","", J47/_xlfn.STDEV.S(J$2:J$68))</f>
        <v>0.61593472167143437</v>
      </c>
      <c r="L47" s="5">
        <f>IF(OR(K47&lt;-2,K47&gt;2),"",H47)</f>
        <v>6.8854348771198239</v>
      </c>
      <c r="M47" s="5">
        <f>IF(OR(K47&lt;-2,K47&gt;2),"",I47)</f>
        <v>2.9273703630390235</v>
      </c>
      <c r="N47" s="5">
        <f>IF(OR(M47="",L47=""),"", (M47-(SLOPE(M$2:M$68,L$2:L$68)*L47+INTERCEPT(M$2:M$68,L$2:L$68))))</f>
        <v>0.28462423536513581</v>
      </c>
      <c r="O47">
        <f>IF(AND(C47=0,B47=0),0,IF(AND(B47&gt;0,C47=0),-4.9,IF(AND(B47=0,C47&gt;0),4.9,(G47-(SLOPE(M$2:M$68,L$2:L$68)*F47+INTERCEPT(M$2:M$68,L$2:L$68)))/_xlfn.STDEV.S(N$2:N$68))))</f>
        <v>0.61932228442306225</v>
      </c>
    </row>
    <row r="48" spans="1:15" x14ac:dyDescent="0.35">
      <c r="A48" s="2" t="s">
        <v>37</v>
      </c>
      <c r="B48">
        <f>SUM([1]category_mergeDALY!P43)</f>
        <v>806140.88951288699</v>
      </c>
      <c r="C48">
        <f>SUM([1]pubmed_result!L44)</f>
        <v>14</v>
      </c>
      <c r="D48" s="5">
        <f>IF(OR(B48=0,C48=0),"",B48)</f>
        <v>806140.88951288699</v>
      </c>
      <c r="E48" s="5">
        <f>IF(OR(B48=0,C48=0),"",C48)</f>
        <v>14</v>
      </c>
      <c r="F48" s="5">
        <f>IF(D48="","",LOG10(D48))</f>
        <v>5.9064109502304136</v>
      </c>
      <c r="G48" s="5">
        <f>IF(E48="","",LOG10(E48))</f>
        <v>1.146128035678238</v>
      </c>
      <c r="H48" s="5">
        <f>IF(OR(F48="",G48=""),"",IF(OR(ABS(F48-AVERAGE(F$2:F$68))&gt;_xlfn.STDEV.S(F$2:F$68)*2,ABS(G48-AVERAGE(G$2:G$68))&gt;_xlfn.STDEV.S(G$2:G$68)*2),"",F48))</f>
        <v>5.9064109502304136</v>
      </c>
      <c r="I48" s="5">
        <f>IF(OR(F48="",G48=""),"",IF(OR(ABS(F48-AVERAGE(F$2:F$68))&gt;_xlfn.STDEV.S(F$2:F$68)*2,ABS(G48-AVERAGE(G$2:G$68))&gt;_xlfn.STDEV.S(G$2:G$68)*2),"",G48))</f>
        <v>1.146128035678238</v>
      </c>
      <c r="J48" s="5">
        <f>IF(OR(H48="",I48=""),"", (I48-(SLOPE(I$2:I$68,H$2:H$68)*H48+INTERCEPT(I$2:I$68,H$2:H$68))))</f>
        <v>-1.1547462449068979</v>
      </c>
      <c r="K48" s="5">
        <f>IF(J48="","", J48/_xlfn.STDEV.S(J$2:J$68))</f>
        <v>-2.4075584695709042</v>
      </c>
      <c r="L48" s="5" t="str">
        <f>IF(OR(K48&lt;-2,K48&gt;2),"",H48)</f>
        <v/>
      </c>
      <c r="M48" s="5" t="str">
        <f>IF(OR(K48&lt;-2,K48&gt;2),"",I48)</f>
        <v/>
      </c>
      <c r="N48" s="5" t="str">
        <f>IF(OR(M48="",L48=""),"", (M48-(SLOPE(M$2:M$68,L$2:L$68)*L48+INTERCEPT(M$2:M$68,L$2:L$68))))</f>
        <v/>
      </c>
      <c r="O48">
        <f>IF(AND(C48=0,B48=0),0,IF(AND(B48&gt;0,C48=0),-4.9,IF(AND(B48=0,C48&gt;0),4.9,(G48-(SLOPE(M$2:M$68,L$2:L$68)*F48+INTERCEPT(M$2:M$68,L$2:L$68)))/_xlfn.STDEV.S(N$2:N$68))))</f>
        <v>-2.5636010536881129</v>
      </c>
    </row>
    <row r="49" spans="1:15" x14ac:dyDescent="0.35">
      <c r="A49" s="2" t="s">
        <v>7</v>
      </c>
      <c r="B49">
        <f>SUM([1]category_mergeDALY!P10)</f>
        <v>10130780.4622577</v>
      </c>
      <c r="C49">
        <f>SUM([1]pubmed_result!L11)</f>
        <v>214</v>
      </c>
      <c r="D49" s="5">
        <f>IF(OR(B49=0,C49=0),"",B49)</f>
        <v>10130780.4622577</v>
      </c>
      <c r="E49" s="5">
        <f>IF(OR(B49=0,C49=0),"",C49)</f>
        <v>214</v>
      </c>
      <c r="F49" s="5">
        <f>IF(D49="","",LOG10(D49))</f>
        <v>7.005642904135736</v>
      </c>
      <c r="G49" s="5">
        <f>IF(E49="","",LOG10(E49))</f>
        <v>2.330413773349191</v>
      </c>
      <c r="H49" s="5">
        <f>IF(OR(F49="",G49=""),"",IF(OR(ABS(F49-AVERAGE(F$2:F$68))&gt;_xlfn.STDEV.S(F$2:F$68)*2,ABS(G49-AVERAGE(G$2:G$68))&gt;_xlfn.STDEV.S(G$2:G$68)*2),"",F49))</f>
        <v>7.005642904135736</v>
      </c>
      <c r="I49" s="5">
        <f>IF(OR(F49="",G49=""),"",IF(OR(ABS(F49-AVERAGE(F$2:F$68))&gt;_xlfn.STDEV.S(F$2:F$68)*2,ABS(G49-AVERAGE(G$2:G$68))&gt;_xlfn.STDEV.S(G$2:G$68)*2),"",G49))</f>
        <v>2.330413773349191</v>
      </c>
      <c r="J49" s="5">
        <f>IF(OR(H49="",I49=""),"", (I49-(SLOPE(I$2:I$68,H$2:H$68)*H49+INTERCEPT(I$2:I$68,H$2:H$68))))</f>
        <v>-0.34218384076747554</v>
      </c>
      <c r="K49" s="5">
        <f>IF(J49="","", J49/_xlfn.STDEV.S(J$2:J$68))</f>
        <v>-0.71342739378767928</v>
      </c>
      <c r="L49" s="5">
        <f>IF(OR(K49&lt;-2,K49&gt;2),"",H49)</f>
        <v>7.005642904135736</v>
      </c>
      <c r="M49" s="5">
        <f>IF(OR(K49&lt;-2,K49&gt;2),"",I49)</f>
        <v>2.330413773349191</v>
      </c>
      <c r="N49" s="5">
        <f>IF(OR(M49="",L49=""),"", (M49-(SLOPE(M$2:M$68,L$2:L$68)*L49+INTERCEPT(M$2:M$68,L$2:L$68))))</f>
        <v>-0.35143332185665033</v>
      </c>
      <c r="O49">
        <f>IF(AND(C49=0,B49=0),0,IF(AND(B49&gt;0,C49=0),-4.9,IF(AND(B49=0,C49&gt;0),4.9,(G49-(SLOPE(M$2:M$68,L$2:L$68)*F49+INTERCEPT(M$2:M$68,L$2:L$68)))/_xlfn.STDEV.S(N$2:N$68))))</f>
        <v>-0.76469414993923035</v>
      </c>
    </row>
    <row r="50" spans="1:15" x14ac:dyDescent="0.35">
      <c r="A50" s="2" t="s">
        <v>48</v>
      </c>
      <c r="B50">
        <f>SUM([1]category_mergeDALY!P54)</f>
        <v>870953.93122314604</v>
      </c>
      <c r="C50">
        <f>SUM([1]pubmed_result!L55)</f>
        <v>265</v>
      </c>
      <c r="D50" s="5">
        <f>IF(OR(B50=0,C50=0),"",B50)</f>
        <v>870953.93122314604</v>
      </c>
      <c r="E50" s="5">
        <f>IF(OR(B50=0,C50=0),"",C50)</f>
        <v>265</v>
      </c>
      <c r="F50" s="5">
        <f>IF(D50="","",LOG10(D50))</f>
        <v>5.9399951837737843</v>
      </c>
      <c r="G50" s="5">
        <f>IF(E50="","",LOG10(E50))</f>
        <v>2.4232458739368079</v>
      </c>
      <c r="H50" s="5">
        <f>IF(OR(F50="",G50=""),"",IF(OR(ABS(F50-AVERAGE(F$2:F$68))&gt;_xlfn.STDEV.S(F$2:F$68)*2,ABS(G50-AVERAGE(G$2:G$68))&gt;_xlfn.STDEV.S(G$2:G$68)*2),"",F50))</f>
        <v>5.9399951837737843</v>
      </c>
      <c r="I50" s="5">
        <f>IF(OR(F50="",G50=""),"",IF(OR(ABS(F50-AVERAGE(F$2:F$68))&gt;_xlfn.STDEV.S(F$2:F$68)*2,ABS(G50-AVERAGE(G$2:G$68))&gt;_xlfn.STDEV.S(G$2:G$68)*2),"",G50))</f>
        <v>2.4232458739368079</v>
      </c>
      <c r="J50" s="5">
        <f>IF(OR(H50="",I50=""),"", (I50-(SLOPE(I$2:I$68,H$2:H$68)*H50+INTERCEPT(I$2:I$68,H$2:H$68))))</f>
        <v>0.11101453335856482</v>
      </c>
      <c r="K50" s="5">
        <f>IF(J50="","", J50/_xlfn.STDEV.S(J$2:J$68))</f>
        <v>0.23145689471752603</v>
      </c>
      <c r="L50" s="5">
        <f>IF(OR(K50&lt;-2,K50&gt;2),"",H50)</f>
        <v>5.9399951837737843</v>
      </c>
      <c r="M50" s="5">
        <f>IF(OR(K50&lt;-2,K50&gt;2),"",I50)</f>
        <v>2.4232458739368079</v>
      </c>
      <c r="N50" s="5">
        <f>IF(OR(M50="",L50=""),"", (M50-(SLOPE(M$2:M$68,L$2:L$68)*L50+INTERCEPT(M$2:M$68,L$2:L$68))))</f>
        <v>8.8030014171320836E-2</v>
      </c>
      <c r="O50">
        <f>IF(AND(C50=0,B50=0),0,IF(AND(B50&gt;0,C50=0),-4.9,IF(AND(B50=0,C50&gt;0),4.9,(G50-(SLOPE(M$2:M$68,L$2:L$68)*F50+INTERCEPT(M$2:M$68,L$2:L$68)))/_xlfn.STDEV.S(N$2:N$68))))</f>
        <v>0.19154710913649448</v>
      </c>
    </row>
    <row r="51" spans="1:15" x14ac:dyDescent="0.35">
      <c r="A51" s="2" t="s">
        <v>5</v>
      </c>
      <c r="B51">
        <f>SUM([1]category_mergeDALY!P8)</f>
        <v>14047447.9510221</v>
      </c>
      <c r="C51">
        <f>SUM([1]pubmed_result!L9)</f>
        <v>268</v>
      </c>
      <c r="D51" s="5">
        <f>IF(OR(B51=0,C51=0),"",B51)</f>
        <v>14047447.9510221</v>
      </c>
      <c r="E51" s="5">
        <f>IF(OR(B51=0,C51=0),"",C51)</f>
        <v>268</v>
      </c>
      <c r="F51" s="5">
        <f>IF(D51="","",LOG10(D51))</f>
        <v>7.1475974316104489</v>
      </c>
      <c r="G51" s="5">
        <f>IF(E51="","",LOG10(E51))</f>
        <v>2.428134794028789</v>
      </c>
      <c r="H51" s="5">
        <f>IF(OR(F51="",G51=""),"",IF(OR(ABS(F51-AVERAGE(F$2:F$68))&gt;_xlfn.STDEV.S(F$2:F$68)*2,ABS(G51-AVERAGE(G$2:G$68))&gt;_xlfn.STDEV.S(G$2:G$68)*2),"",F51))</f>
        <v>7.1475974316104489</v>
      </c>
      <c r="I51" s="5">
        <f>IF(OR(F51="",G51=""),"",IF(OR(ABS(F51-AVERAGE(F$2:F$68))&gt;_xlfn.STDEV.S(F$2:F$68)*2,ABS(G51-AVERAGE(G$2:G$68))&gt;_xlfn.STDEV.S(G$2:G$68)*2),"",G51))</f>
        <v>2.428134794028789</v>
      </c>
      <c r="J51" s="5">
        <f>IF(OR(H51="",I51=""),"", (I51-(SLOPE(I$2:I$68,H$2:H$68)*H51+INTERCEPT(I$2:I$68,H$2:H$68))))</f>
        <v>-0.29246707430858265</v>
      </c>
      <c r="K51" s="5">
        <f>IF(J51="","", J51/_xlfn.STDEV.S(J$2:J$68))</f>
        <v>-0.60977170086318155</v>
      </c>
      <c r="L51" s="5">
        <f>IF(OR(K51&lt;-2,K51&gt;2),"",H51)</f>
        <v>7.1475974316104489</v>
      </c>
      <c r="M51" s="5">
        <f>IF(OR(K51&lt;-2,K51&gt;2),"",I51)</f>
        <v>2.428134794028789</v>
      </c>
      <c r="N51" s="5">
        <f>IF(OR(M51="",L51=""),"", (M51-(SLOPE(M$2:M$68,L$2:L$68)*L51+INTERCEPT(M$2:M$68,L$2:L$68))))</f>
        <v>-0.29988691619729435</v>
      </c>
      <c r="O51">
        <f>IF(AND(C51=0,B51=0),0,IF(AND(B51&gt;0,C51=0),-4.9,IF(AND(B51=0,C51&gt;0),4.9,(G51-(SLOPE(M$2:M$68,L$2:L$68)*F51+INTERCEPT(M$2:M$68,L$2:L$68)))/_xlfn.STDEV.S(N$2:N$68))))</f>
        <v>-0.65253280266043634</v>
      </c>
    </row>
    <row r="52" spans="1:15" x14ac:dyDescent="0.35">
      <c r="A52" s="2" t="s">
        <v>16</v>
      </c>
      <c r="B52">
        <f>SUM([1]category_mergeDALY!P19)</f>
        <v>2766192.2777527198</v>
      </c>
      <c r="C52">
        <f>SUM([1]pubmed_result!L20)</f>
        <v>741</v>
      </c>
      <c r="D52" s="5">
        <f>IF(OR(B52=0,C52=0),"",B52)</f>
        <v>2766192.2777527198</v>
      </c>
      <c r="E52" s="5">
        <f>IF(OR(B52=0,C52=0),"",C52)</f>
        <v>741</v>
      </c>
      <c r="F52" s="5">
        <f>IF(D52="","",LOG10(D52))</f>
        <v>6.4418823645891683</v>
      </c>
      <c r="G52" s="5">
        <f>IF(E52="","",LOG10(E52))</f>
        <v>2.869818207979328</v>
      </c>
      <c r="H52" s="5">
        <f>IF(OR(F52="",G52=""),"",IF(OR(ABS(F52-AVERAGE(F$2:F$68))&gt;_xlfn.STDEV.S(F$2:F$68)*2,ABS(G52-AVERAGE(G$2:G$68))&gt;_xlfn.STDEV.S(G$2:G$68)*2),"",F52))</f>
        <v>6.4418823645891683</v>
      </c>
      <c r="I52" s="5">
        <f>IF(OR(F52="",G52=""),"",IF(OR(ABS(F52-AVERAGE(F$2:F$68))&gt;_xlfn.STDEV.S(F$2:F$68)*2,ABS(G52-AVERAGE(G$2:G$68))&gt;_xlfn.STDEV.S(G$2:G$68)*2),"",G52))</f>
        <v>2.869818207979328</v>
      </c>
      <c r="J52" s="5">
        <f>IF(OR(H52="",I52=""),"", (I52-(SLOPE(I$2:I$68,H$2:H$68)*H52+INTERCEPT(I$2:I$68,H$2:H$68))))</f>
        <v>0.38786547670950267</v>
      </c>
      <c r="K52" s="5">
        <f>IF(J52="","", J52/_xlfn.STDEV.S(J$2:J$68))</f>
        <v>0.80867014517237801</v>
      </c>
      <c r="L52" s="5">
        <f>IF(OR(K52&lt;-2,K52&gt;2),"",H52)</f>
        <v>6.4418823645891683</v>
      </c>
      <c r="M52" s="5">
        <f>IF(OR(K52&lt;-2,K52&gt;2),"",I52)</f>
        <v>2.869818207979328</v>
      </c>
      <c r="N52" s="5">
        <f>IF(OR(M52="",L52=""),"", (M52-(SLOPE(M$2:M$68,L$2:L$68)*L52+INTERCEPT(M$2:M$68,L$2:L$68))))</f>
        <v>0.37134973647961456</v>
      </c>
      <c r="O52">
        <f>IF(AND(C52=0,B52=0),0,IF(AND(B52&gt;0,C52=0),-4.9,IF(AND(B52=0,C52&gt;0),4.9,(G52-(SLOPE(M$2:M$68,L$2:L$68)*F52+INTERCEPT(M$2:M$68,L$2:L$68)))/_xlfn.STDEV.S(N$2:N$68))))</f>
        <v>0.80803086505060273</v>
      </c>
    </row>
    <row r="53" spans="1:15" x14ac:dyDescent="0.35">
      <c r="A53" s="2" t="s">
        <v>25</v>
      </c>
      <c r="B53">
        <f>SUM([1]category_mergeDALY!P31)</f>
        <v>2526741.3046229901</v>
      </c>
      <c r="C53">
        <f>SUM([1]pubmed_result!L32)</f>
        <v>37</v>
      </c>
      <c r="D53" s="5">
        <f>IF(OR(B53=0,C53=0),"",B53)</f>
        <v>2526741.3046229901</v>
      </c>
      <c r="E53" s="5">
        <f>IF(OR(B53=0,C53=0),"",C53)</f>
        <v>37</v>
      </c>
      <c r="F53" s="5">
        <f>IF(D53="","",LOG10(D53))</f>
        <v>6.4025607798202326</v>
      </c>
      <c r="G53" s="5">
        <f>IF(E53="","",LOG10(E53))</f>
        <v>1.568201724066995</v>
      </c>
      <c r="H53" s="5">
        <f>IF(OR(F53="",G53=""),"",IF(OR(ABS(F53-AVERAGE(F$2:F$68))&gt;_xlfn.STDEV.S(F$2:F$68)*2,ABS(G53-AVERAGE(G$2:G$68))&gt;_xlfn.STDEV.S(G$2:G$68)*2),"",F53))</f>
        <v>6.4025607798202326</v>
      </c>
      <c r="I53" s="5">
        <f>IF(OR(F53="",G53=""),"",IF(OR(ABS(F53-AVERAGE(F$2:F$68))&gt;_xlfn.STDEV.S(F$2:F$68)*2,ABS(G53-AVERAGE(G$2:G$68))&gt;_xlfn.STDEV.S(G$2:G$68)*2),"",G53))</f>
        <v>1.568201724066995</v>
      </c>
      <c r="J53" s="5">
        <f>IF(OR(H53="",I53=""),"", (I53-(SLOPE(I$2:I$68,H$2:H$68)*H53+INTERCEPT(I$2:I$68,H$2:H$68))))</f>
        <v>-0.9004537676910771</v>
      </c>
      <c r="K53" s="5">
        <f>IF(J53="","", J53/_xlfn.STDEV.S(J$2:J$68))</f>
        <v>-1.8773779126135819</v>
      </c>
      <c r="L53" s="5">
        <f>IF(OR(K53&lt;-2,K53&gt;2),"",H53)</f>
        <v>6.4025607798202326</v>
      </c>
      <c r="M53" s="5">
        <f>IF(OR(K53&lt;-2,K53&gt;2),"",I53)</f>
        <v>1.568201724066995</v>
      </c>
      <c r="N53" s="5">
        <f>IF(OR(M53="",L53=""),"", (M53-(SLOPE(M$2:M$68,L$2:L$68)*L53+INTERCEPT(M$2:M$68,L$2:L$68))))</f>
        <v>-0.91747632030798387</v>
      </c>
      <c r="O53">
        <f>IF(AND(C53=0,B53=0),0,IF(AND(B53&gt;0,C53=0),-4.9,IF(AND(B53=0,C53&gt;0),4.9,(G53-(SLOPE(M$2:M$68,L$2:L$68)*F53+INTERCEPT(M$2:M$68,L$2:L$68)))/_xlfn.STDEV.S(N$2:N$68))))</f>
        <v>-1.9963638369313905</v>
      </c>
    </row>
    <row r="54" spans="1:15" x14ac:dyDescent="0.35">
      <c r="A54" s="2" t="s">
        <v>8</v>
      </c>
      <c r="B54">
        <f>SUM([1]category_mergeDALY!P11)</f>
        <v>8132041.3907034798</v>
      </c>
      <c r="C54">
        <f>SUM([1]pubmed_result!L12)</f>
        <v>3017</v>
      </c>
      <c r="D54" s="5">
        <f>IF(OR(B54=0,C54=0),"",B54)</f>
        <v>8132041.3907034798</v>
      </c>
      <c r="E54" s="5">
        <f>IF(OR(B54=0,C54=0),"",C54)</f>
        <v>3017</v>
      </c>
      <c r="F54" s="5">
        <f>IF(D54="","",LOG10(D54))</f>
        <v>6.9101995804564558</v>
      </c>
      <c r="G54" s="5">
        <f>IF(E54="","",LOG10(E54))</f>
        <v>3.4795753101749884</v>
      </c>
      <c r="H54" s="5">
        <f>IF(OR(F54="",G54=""),"",IF(OR(ABS(F54-AVERAGE(F$2:F$68))&gt;_xlfn.STDEV.S(F$2:F$68)*2,ABS(G54-AVERAGE(G$2:G$68))&gt;_xlfn.STDEV.S(G$2:G$68)*2),"",F54))</f>
        <v>6.9101995804564558</v>
      </c>
      <c r="I54" s="5">
        <f>IF(OR(F54="",G54=""),"",IF(OR(ABS(F54-AVERAGE(F$2:F$68))&gt;_xlfn.STDEV.S(F$2:F$68)*2,ABS(G54-AVERAGE(G$2:G$68))&gt;_xlfn.STDEV.S(G$2:G$68)*2),"",G54))</f>
        <v>3.4795753101749884</v>
      </c>
      <c r="J54" s="5">
        <f>IF(OR(H54="",I54=""),"", (I54-(SLOPE(I$2:I$68,H$2:H$68)*H54+INTERCEPT(I$2:I$68,H$2:H$68))))</f>
        <v>0.83925342304691952</v>
      </c>
      <c r="K54" s="5">
        <f>IF(J54="","", J54/_xlfn.STDEV.S(J$2:J$68))</f>
        <v>1.7497798288453343</v>
      </c>
      <c r="L54" s="5">
        <f>IF(OR(K54&lt;-2,K54&gt;2),"",H54)</f>
        <v>6.9101995804564558</v>
      </c>
      <c r="M54" s="5">
        <f>IF(OR(K54&lt;-2,K54&gt;2),"",I54)</f>
        <v>3.4795753101749884</v>
      </c>
      <c r="N54" s="5">
        <f>IF(OR(M54="",L54=""),"", (M54-(SLOPE(M$2:M$68,L$2:L$68)*L54+INTERCEPT(M$2:M$68,L$2:L$68))))</f>
        <v>0.82877378150050074</v>
      </c>
      <c r="O54">
        <f>IF(AND(C54=0,B54=0),0,IF(AND(B54&gt;0,C54=0),-4.9,IF(AND(B54=0,C54&gt;0),4.9,(G54-(SLOPE(M$2:M$68,L$2:L$68)*F54+INTERCEPT(M$2:M$68,L$2:L$68)))/_xlfn.STDEV.S(N$2:N$68))))</f>
        <v>1.803353361565859</v>
      </c>
    </row>
    <row r="55" spans="1:15" x14ac:dyDescent="0.35">
      <c r="A55" s="2" t="s">
        <v>3</v>
      </c>
      <c r="B55">
        <f>SUM([1]category_mergeDALY!P6)</f>
        <v>31438207.682155501</v>
      </c>
      <c r="C55">
        <f>SUM([1]pubmed_result!L7)</f>
        <v>486</v>
      </c>
      <c r="D55" s="5">
        <f>IF(OR(B55=0,C55=0),"",B55)</f>
        <v>31438207.682155501</v>
      </c>
      <c r="E55" s="5">
        <f>IF(OR(B55=0,C55=0),"",C55)</f>
        <v>486</v>
      </c>
      <c r="F55" s="5">
        <f>IF(D55="","",LOG10(D55))</f>
        <v>7.4974577785907259</v>
      </c>
      <c r="G55" s="5">
        <f>IF(E55="","",LOG10(E55))</f>
        <v>2.6866362692622934</v>
      </c>
      <c r="H55" s="5">
        <f>IF(OR(F55="",G55=""),"",IF(OR(ABS(F55-AVERAGE(F$2:F$68))&gt;_xlfn.STDEV.S(F$2:F$68)*2,ABS(G55-AVERAGE(G$2:G$68))&gt;_xlfn.STDEV.S(G$2:G$68)*2),"",F55))</f>
        <v>7.4974577785907259</v>
      </c>
      <c r="I55" s="5">
        <f>IF(OR(F55="",G55=""),"",IF(OR(ABS(F55-AVERAGE(F$2:F$68))&gt;_xlfn.STDEV.S(F$2:F$68)*2,ABS(G55-AVERAGE(G$2:G$68))&gt;_xlfn.STDEV.S(G$2:G$68)*2),"",G55))</f>
        <v>2.6866362692622934</v>
      </c>
      <c r="J55" s="5">
        <f>IF(OR(H55="",I55=""),"", (I55-(SLOPE(I$2:I$68,H$2:H$68)*H55+INTERCEPT(I$2:I$68,H$2:H$68))))</f>
        <v>-0.15227661977272433</v>
      </c>
      <c r="K55" s="5">
        <f>IF(J55="","", J55/_xlfn.STDEV.S(J$2:J$68))</f>
        <v>-0.31748522003724655</v>
      </c>
      <c r="L55" s="5">
        <f>IF(OR(K55&lt;-2,K55&gt;2),"",H55)</f>
        <v>7.4974577785907259</v>
      </c>
      <c r="M55" s="5">
        <f>IF(OR(K55&lt;-2,K55&gt;2),"",I55)</f>
        <v>2.6866362692622934</v>
      </c>
      <c r="N55" s="5">
        <f>IF(OR(M55="",L55=""),"", (M55-(SLOPE(M$2:M$68,L$2:L$68)*L55+INTERCEPT(M$2:M$68,L$2:L$68))))</f>
        <v>-0.15518714295980596</v>
      </c>
      <c r="O55">
        <f>IF(AND(C55=0,B55=0),0,IF(AND(B55&gt;0,C55=0),-4.9,IF(AND(B55=0,C55&gt;0),4.9,(G55-(SLOPE(M$2:M$68,L$2:L$68)*F55+INTERCEPT(M$2:M$68,L$2:L$68)))/_xlfn.STDEV.S(N$2:N$68))))</f>
        <v>-0.33767629017134698</v>
      </c>
    </row>
    <row r="56" spans="1:15" x14ac:dyDescent="0.35">
      <c r="A56" s="2" t="s">
        <v>19</v>
      </c>
      <c r="B56">
        <f>SUM([1]category_mergeDALY!P25)</f>
        <v>3198461.5335689099</v>
      </c>
      <c r="C56">
        <f>SUM([1]pubmed_result!L26)</f>
        <v>134</v>
      </c>
      <c r="D56" s="5">
        <f>IF(OR(B56=0,C56=0),"",B56)</f>
        <v>3198461.5335689099</v>
      </c>
      <c r="E56" s="5">
        <f>IF(OR(B56=0,C56=0),"",C56)</f>
        <v>134</v>
      </c>
      <c r="F56" s="5">
        <f>IF(D56="","",LOG10(D56))</f>
        <v>6.5049411320242809</v>
      </c>
      <c r="G56" s="5">
        <f>IF(E56="","",LOG10(E56))</f>
        <v>2.1271047983648077</v>
      </c>
      <c r="H56" s="5">
        <f>IF(OR(F56="",G56=""),"",IF(OR(ABS(F56-AVERAGE(F$2:F$68))&gt;_xlfn.STDEV.S(F$2:F$68)*2,ABS(G56-AVERAGE(G$2:G$68))&gt;_xlfn.STDEV.S(G$2:G$68)*2),"",F56))</f>
        <v>6.5049411320242809</v>
      </c>
      <c r="I56" s="5">
        <f>IF(OR(F56="",G56=""),"",IF(OR(ABS(F56-AVERAGE(F$2:F$68))&gt;_xlfn.STDEV.S(F$2:F$68)*2,ABS(G56-AVERAGE(G$2:G$68))&gt;_xlfn.STDEV.S(G$2:G$68)*2),"",G56))</f>
        <v>2.1271047983648077</v>
      </c>
      <c r="J56" s="5">
        <f>IF(OR(H56="",I56=""),"", (I56-(SLOPE(I$2:I$68,H$2:H$68)*H56+INTERCEPT(I$2:I$68,H$2:H$68))))</f>
        <v>-0.37617229047676659</v>
      </c>
      <c r="K56" s="5">
        <f>IF(J56="","", J56/_xlfn.STDEV.S(J$2:J$68))</f>
        <v>-0.78429073742365352</v>
      </c>
      <c r="L56" s="5">
        <f>IF(OR(K56&lt;-2,K56&gt;2),"",H56)</f>
        <v>6.5049411320242809</v>
      </c>
      <c r="M56" s="5">
        <f>IF(OR(K56&lt;-2,K56&gt;2),"",I56)</f>
        <v>2.1271047983648077</v>
      </c>
      <c r="N56" s="5">
        <f>IF(OR(M56="",L56=""),"", (M56-(SLOPE(M$2:M$68,L$2:L$68)*L56+INTERCEPT(M$2:M$68,L$2:L$68))))</f>
        <v>-0.39187527189660054</v>
      </c>
      <c r="O56">
        <f>IF(AND(C56=0,B56=0),0,IF(AND(B56&gt;0,C56=0),-4.9,IF(AND(B56=0,C56&gt;0),4.9,(G56-(SLOPE(M$2:M$68,L$2:L$68)*F56+INTERCEPT(M$2:M$68,L$2:L$68)))/_xlfn.STDEV.S(N$2:N$68))))</f>
        <v>-0.85269298409730476</v>
      </c>
    </row>
    <row r="57" spans="1:15" x14ac:dyDescent="0.35">
      <c r="A57" s="2" t="s">
        <v>33</v>
      </c>
      <c r="B57">
        <f>SUM([1]category_mergeDALY!P39)</f>
        <v>2071356.9604352</v>
      </c>
      <c r="C57">
        <f>SUM([1]pubmed_result!L40)</f>
        <v>367</v>
      </c>
      <c r="D57" s="5">
        <f>IF(OR(B57=0,C57=0),"",B57)</f>
        <v>2071356.9604352</v>
      </c>
      <c r="E57" s="5">
        <f>IF(OR(B57=0,C57=0),"",C57)</f>
        <v>367</v>
      </c>
      <c r="F57" s="5">
        <f>IF(D57="","",LOG10(D57))</f>
        <v>6.3162549480429249</v>
      </c>
      <c r="G57" s="5">
        <f>IF(E57="","",LOG10(E57))</f>
        <v>2.5646660642520893</v>
      </c>
      <c r="H57" s="5">
        <f>IF(OR(F57="",G57=""),"",IF(OR(ABS(F57-AVERAGE(F$2:F$68))&gt;_xlfn.STDEV.S(F$2:F$68)*2,ABS(G57-AVERAGE(G$2:G$68))&gt;_xlfn.STDEV.S(G$2:G$68)*2),"",F57))</f>
        <v>6.3162549480429249</v>
      </c>
      <c r="I57" s="5">
        <f>IF(OR(F57="",G57=""),"",IF(OR(ABS(F57-AVERAGE(F$2:F$68))&gt;_xlfn.STDEV.S(F$2:F$68)*2,ABS(G57-AVERAGE(G$2:G$68))&gt;_xlfn.STDEV.S(G$2:G$68)*2),"",G57))</f>
        <v>2.5646660642520893</v>
      </c>
      <c r="J57" s="5">
        <f>IF(OR(H57="",I57=""),"", (I57-(SLOPE(I$2:I$68,H$2:H$68)*H57+INTERCEPT(I$2:I$68,H$2:H$68))))</f>
        <v>0.12519630656724212</v>
      </c>
      <c r="K57" s="5">
        <f>IF(J57="","", J57/_xlfn.STDEV.S(J$2:J$68))</f>
        <v>0.26102481784581266</v>
      </c>
      <c r="L57" s="5">
        <f>IF(OR(K57&lt;-2,K57&gt;2),"",H57)</f>
        <v>6.3162549480429249</v>
      </c>
      <c r="M57" s="5">
        <f>IF(OR(K57&lt;-2,K57&gt;2),"",I57)</f>
        <v>2.5646660642520893</v>
      </c>
      <c r="N57" s="5">
        <f>IF(OR(M57="",L57=""),"", (M57-(SLOPE(M$2:M$68,L$2:L$68)*L57+INTERCEPT(M$2:M$68,L$2:L$68))))</f>
        <v>0.10706136580846026</v>
      </c>
      <c r="O57">
        <f>IF(AND(C57=0,B57=0),0,IF(AND(B57&gt;0,C57=0),-4.9,IF(AND(B57=0,C57&gt;0),4.9,(G57-(SLOPE(M$2:M$68,L$2:L$68)*F57+INTERCEPT(M$2:M$68,L$2:L$68)))/_xlfn.STDEV.S(N$2:N$68))))</f>
        <v>0.23295798954325667</v>
      </c>
    </row>
    <row r="58" spans="1:15" x14ac:dyDescent="0.35">
      <c r="A58" s="2" t="s">
        <v>9</v>
      </c>
      <c r="B58">
        <f>SUM([1]category_mergeDALY!P12)</f>
        <v>8677912.8402969502</v>
      </c>
      <c r="C58">
        <f>SUM([1]pubmed_result!L13)</f>
        <v>153</v>
      </c>
      <c r="D58" s="5">
        <f>IF(OR(B58=0,C58=0),"",B58)</f>
        <v>8677912.8402969502</v>
      </c>
      <c r="E58" s="5">
        <f>IF(OR(B58=0,C58=0),"",C58)</f>
        <v>153</v>
      </c>
      <c r="F58" s="5">
        <f>IF(D58="","",LOG10(D58))</f>
        <v>6.9384152838240558</v>
      </c>
      <c r="G58" s="5">
        <f>IF(E58="","",LOG10(E58))</f>
        <v>2.1846914308175989</v>
      </c>
      <c r="H58" s="5">
        <f>IF(OR(F58="",G58=""),"",IF(OR(ABS(F58-AVERAGE(F$2:F$68))&gt;_xlfn.STDEV.S(F$2:F$68)*2,ABS(G58-AVERAGE(G$2:G$68))&gt;_xlfn.STDEV.S(G$2:G$68)*2),"",F58))</f>
        <v>6.9384152838240558</v>
      </c>
      <c r="I58" s="5">
        <f>IF(OR(F58="",G58=""),"",IF(OR(ABS(F58-AVERAGE(F$2:F$68))&gt;_xlfn.STDEV.S(F$2:F$68)*2,ABS(G58-AVERAGE(G$2:G$68))&gt;_xlfn.STDEV.S(G$2:G$68)*2),"",G58))</f>
        <v>2.1846914308175989</v>
      </c>
      <c r="J58" s="5">
        <f>IF(OR(H58="",I58=""),"", (I58-(SLOPE(I$2:I$68,H$2:H$68)*H58+INTERCEPT(I$2:I$68,H$2:H$68))))</f>
        <v>-0.46517205967860153</v>
      </c>
      <c r="K58" s="5">
        <f>IF(J58="","", J58/_xlfn.STDEV.S(J$2:J$68))</f>
        <v>-0.96984851609303491</v>
      </c>
      <c r="L58" s="5">
        <f>IF(OR(K58&lt;-2,K58&gt;2),"",H58)</f>
        <v>6.9384152838240558</v>
      </c>
      <c r="M58" s="5">
        <f>IF(OR(K58&lt;-2,K58&gt;2),"",I58)</f>
        <v>2.1846914308175989</v>
      </c>
      <c r="N58" s="5">
        <f>IF(OR(M58="",L58=""),"", (M58-(SLOPE(M$2:M$68,L$2:L$68)*L58+INTERCEPT(M$2:M$68,L$2:L$68))))</f>
        <v>-0.47528803154946742</v>
      </c>
      <c r="O58">
        <f>IF(AND(C58=0,B58=0),0,IF(AND(B58&gt;0,C58=0),-4.9,IF(AND(B58=0,C58&gt;0),4.9,(G58-(SLOPE(M$2:M$68,L$2:L$68)*F58+INTERCEPT(M$2:M$68,L$2:L$68)))/_xlfn.STDEV.S(N$2:N$68))))</f>
        <v>-1.0341932726864795</v>
      </c>
    </row>
    <row r="59" spans="1:15" x14ac:dyDescent="0.35">
      <c r="A59" s="2" t="s">
        <v>18</v>
      </c>
      <c r="B59">
        <f>SUM([1]category_mergeDALY!P22)</f>
        <v>6832255.8042343296</v>
      </c>
      <c r="C59">
        <f>SUM([1]pubmed_result!L23)</f>
        <v>585</v>
      </c>
      <c r="D59" s="5">
        <f>IF(OR(B59=0,C59=0),"",B59)</f>
        <v>6832255.8042343296</v>
      </c>
      <c r="E59" s="5">
        <f>IF(OR(B59=0,C59=0),"",C59)</f>
        <v>585</v>
      </c>
      <c r="F59" s="5">
        <f>IF(D59="","",LOG10(D59))</f>
        <v>6.8345641182616959</v>
      </c>
      <c r="G59" s="5">
        <f>IF(E59="","",LOG10(E59))</f>
        <v>2.7671558660821804</v>
      </c>
      <c r="H59" s="5">
        <f>IF(OR(F59="",G59=""),"",IF(OR(ABS(F59-AVERAGE(F$2:F$68))&gt;_xlfn.STDEV.S(F$2:F$68)*2,ABS(G59-AVERAGE(G$2:G$68))&gt;_xlfn.STDEV.S(G$2:G$68)*2),"",F59))</f>
        <v>6.8345641182616959</v>
      </c>
      <c r="I59" s="5">
        <f>IF(OR(F59="",G59=""),"",IF(OR(ABS(F59-AVERAGE(F$2:F$68))&gt;_xlfn.STDEV.S(F$2:F$68)*2,ABS(G59-AVERAGE(G$2:G$68))&gt;_xlfn.STDEV.S(G$2:G$68)*2),"",G59))</f>
        <v>2.7671558660821804</v>
      </c>
      <c r="J59" s="5">
        <f>IF(OR(H59="",I59=""),"", (I59-(SLOPE(I$2:I$68,H$2:H$68)*H59+INTERCEPT(I$2:I$68,H$2:H$68))))</f>
        <v>0.15241135235591852</v>
      </c>
      <c r="K59" s="5">
        <f>IF(J59="","", J59/_xlfn.STDEV.S(J$2:J$68))</f>
        <v>0.31776612726965975</v>
      </c>
      <c r="L59" s="5">
        <f>IF(OR(K59&lt;-2,K59&gt;2),"",H59)</f>
        <v>6.8345641182616959</v>
      </c>
      <c r="M59" s="5">
        <f>IF(OR(K59&lt;-2,K59&gt;2),"",I59)</f>
        <v>2.7671558660821804</v>
      </c>
      <c r="N59" s="5">
        <f>IF(OR(M59="",L59=""),"", (M59-(SLOPE(M$2:M$68,L$2:L$68)*L59+INTERCEPT(M$2:M$68,L$2:L$68))))</f>
        <v>0.1409568521062341</v>
      </c>
      <c r="O59">
        <f>IF(AND(C59=0,B59=0),0,IF(AND(B59&gt;0,C59=0),-4.9,IF(AND(B59=0,C59&gt;0),4.9,(G59-(SLOPE(M$2:M$68,L$2:L$68)*F59+INTERCEPT(M$2:M$68,L$2:L$68)))/_xlfn.STDEV.S(N$2:N$68))))</f>
        <v>0.30671217979567</v>
      </c>
    </row>
    <row r="60" spans="1:15" x14ac:dyDescent="0.35">
      <c r="A60" s="2" t="s">
        <v>32</v>
      </c>
      <c r="B60">
        <f>SUM([1]category_mergeDALY!P38)</f>
        <v>1243094.5357606399</v>
      </c>
      <c r="C60">
        <f>SUM([1]pubmed_result!L39)</f>
        <v>173</v>
      </c>
      <c r="D60" s="5">
        <f>IF(OR(B60=0,C60=0),"",B60)</f>
        <v>1243094.5357606399</v>
      </c>
      <c r="E60" s="5">
        <f>IF(OR(B60=0,C60=0),"",C60)</f>
        <v>173</v>
      </c>
      <c r="F60" s="5">
        <f>IF(D60="","",LOG10(D60))</f>
        <v>6.0945041574413281</v>
      </c>
      <c r="G60" s="5">
        <f>IF(E60="","",LOG10(E60))</f>
        <v>2.2380461031287955</v>
      </c>
      <c r="H60" s="5">
        <f>IF(OR(F60="",G60=""),"",IF(OR(ABS(F60-AVERAGE(F$2:F$68))&gt;_xlfn.STDEV.S(F$2:F$68)*2,ABS(G60-AVERAGE(G$2:G$68))&gt;_xlfn.STDEV.S(G$2:G$68)*2),"",F60))</f>
        <v>6.0945041574413281</v>
      </c>
      <c r="I60" s="5">
        <f>IF(OR(F60="",G60=""),"",IF(OR(ABS(F60-AVERAGE(F$2:F$68))&gt;_xlfn.STDEV.S(F$2:F$68)*2,ABS(G60-AVERAGE(G$2:G$68))&gt;_xlfn.STDEV.S(G$2:G$68)*2),"",G60))</f>
        <v>2.2380461031287955</v>
      </c>
      <c r="J60" s="5">
        <f>IF(OR(H60="",I60=""),"", (I60-(SLOPE(I$2:I$68,H$2:H$68)*H60+INTERCEPT(I$2:I$68,H$2:H$68))))</f>
        <v>-0.12643498378204177</v>
      </c>
      <c r="K60" s="5">
        <f>IF(J60="","", J60/_xlfn.STDEV.S(J$2:J$68))</f>
        <v>-0.26360736603136298</v>
      </c>
      <c r="L60" s="5">
        <f>IF(OR(K60&lt;-2,K60&gt;2),"",H60)</f>
        <v>6.0945041574413281</v>
      </c>
      <c r="M60" s="5">
        <f>IF(OR(K60&lt;-2,K60&gt;2),"",I60)</f>
        <v>2.2380461031287955</v>
      </c>
      <c r="N60" s="5">
        <f>IF(OR(M60="",L60=""),"", (M60-(SLOPE(M$2:M$68,L$2:L$68)*L60+INTERCEPT(M$2:M$68,L$2:L$68))))</f>
        <v>-0.14742805063539732</v>
      </c>
      <c r="O60">
        <f>IF(AND(C60=0,B60=0),0,IF(AND(B60&gt;0,C60=0),-4.9,IF(AND(B60=0,C60&gt;0),4.9,(G60-(SLOPE(M$2:M$68,L$2:L$68)*F60+INTERCEPT(M$2:M$68,L$2:L$68)))/_xlfn.STDEV.S(N$2:N$68))))</f>
        <v>-0.32079305190023655</v>
      </c>
    </row>
    <row r="61" spans="1:15" x14ac:dyDescent="0.35">
      <c r="A61" s="2" t="s">
        <v>39</v>
      </c>
      <c r="B61">
        <f>SUM([1]category_mergeDALY!P45)</f>
        <v>1036239.91308116</v>
      </c>
      <c r="C61">
        <f>SUM([1]pubmed_result!L46)</f>
        <v>185</v>
      </c>
      <c r="D61" s="5">
        <f>IF(OR(B61=0,C61=0),"",B61)</f>
        <v>1036239.91308116</v>
      </c>
      <c r="E61" s="5">
        <f>IF(OR(B61=0,C61=0),"",C61)</f>
        <v>185</v>
      </c>
      <c r="F61" s="5">
        <f>IF(D61="","",LOG10(D61))</f>
        <v>6.0154603160895599</v>
      </c>
      <c r="G61" s="5">
        <f>IF(E61="","",LOG10(E61))</f>
        <v>2.2671717284030137</v>
      </c>
      <c r="H61" s="5">
        <f>IF(OR(F61="",G61=""),"",IF(OR(ABS(F61-AVERAGE(F$2:F$68))&gt;_xlfn.STDEV.S(F$2:F$68)*2,ABS(G61-AVERAGE(G$2:G$68))&gt;_xlfn.STDEV.S(G$2:G$68)*2),"",F61))</f>
        <v>6.0154603160895599</v>
      </c>
      <c r="I61" s="5">
        <f>IF(OR(F61="",G61=""),"",IF(OR(ABS(F61-AVERAGE(F$2:F$68))&gt;_xlfn.STDEV.S(F$2:F$68)*2,ABS(G61-AVERAGE(G$2:G$68))&gt;_xlfn.STDEV.S(G$2:G$68)*2),"",G61))</f>
        <v>2.2671717284030137</v>
      </c>
      <c r="J61" s="5">
        <f>IF(OR(H61="",I61=""),"", (I61-(SLOPE(I$2:I$68,H$2:H$68)*H61+INTERCEPT(I$2:I$68,H$2:H$68))))</f>
        <v>-7.0579385731806887E-2</v>
      </c>
      <c r="K61" s="5">
        <f>IF(J61="","", J61/_xlfn.STDEV.S(J$2:J$68))</f>
        <v>-0.14715267414394037</v>
      </c>
      <c r="L61" s="5">
        <f>IF(OR(K61&lt;-2,K61&gt;2),"",H61)</f>
        <v>6.0154603160895599</v>
      </c>
      <c r="M61" s="5">
        <f>IF(OR(K61&lt;-2,K61&gt;2),"",I61)</f>
        <v>2.2671717284030137</v>
      </c>
      <c r="N61" s="5">
        <f>IF(OR(M61="",L61=""),"", (M61-(SLOPE(M$2:M$68,L$2:L$68)*L61+INTERCEPT(M$2:M$68,L$2:L$68))))</f>
        <v>-9.2591241582351547E-2</v>
      </c>
      <c r="O61">
        <f>IF(AND(C61=0,B61=0),0,IF(AND(B61&gt;0,C61=0),-4.9,IF(AND(B61=0,C61&gt;0),4.9,(G61-(SLOPE(M$2:M$68,L$2:L$68)*F61+INTERCEPT(M$2:M$68,L$2:L$68)))/_xlfn.STDEV.S(N$2:N$68))))</f>
        <v>-0.2014720186451619</v>
      </c>
    </row>
    <row r="62" spans="1:15" x14ac:dyDescent="0.35">
      <c r="A62" s="2" t="s">
        <v>53</v>
      </c>
      <c r="B62">
        <f>SUM([1]category_mergeDALY!P59)</f>
        <v>238236.84079004001</v>
      </c>
      <c r="C62">
        <f>SUM([1]pubmed_result!L60)</f>
        <v>123</v>
      </c>
      <c r="D62" s="5">
        <f>IF(OR(B62=0,C62=0),"",B62)</f>
        <v>238236.84079004001</v>
      </c>
      <c r="E62" s="5">
        <f>IF(OR(B62=0,C62=0),"",C62)</f>
        <v>123</v>
      </c>
      <c r="F62" s="5">
        <f>IF(D62="","",LOG10(D62))</f>
        <v>5.3770089213560954</v>
      </c>
      <c r="G62" s="5">
        <f>IF(E62="","",LOG10(E62))</f>
        <v>2.0899051114393981</v>
      </c>
      <c r="H62" s="5">
        <f>IF(OR(F62="",G62=""),"",IF(OR(ABS(F62-AVERAGE(F$2:F$68))&gt;_xlfn.STDEV.S(F$2:F$68)*2,ABS(G62-AVERAGE(G$2:G$68))&gt;_xlfn.STDEV.S(G$2:G$68)*2),"",F62))</f>
        <v>5.3770089213560954</v>
      </c>
      <c r="I62" s="5">
        <f>IF(OR(F62="",G62=""),"",IF(OR(ABS(F62-AVERAGE(F$2:F$68))&gt;_xlfn.STDEV.S(F$2:F$68)*2,ABS(G62-AVERAGE(G$2:G$68))&gt;_xlfn.STDEV.S(G$2:G$68)*2),"",G62))</f>
        <v>2.0899051114393981</v>
      </c>
      <c r="J62" s="5">
        <f>IF(OR(H62="",I62=""),"", (I62-(SLOPE(I$2:I$68,H$2:H$68)*H62+INTERCEPT(I$2:I$68,H$2:H$68))))</f>
        <v>-3.1943180816011107E-2</v>
      </c>
      <c r="K62" s="5">
        <f>IF(J62="","", J62/_xlfn.STDEV.S(J$2:J$68))</f>
        <v>-6.6599112885465925E-2</v>
      </c>
      <c r="L62" s="5">
        <f>IF(OR(K62&lt;-2,K62&gt;2),"",H62)</f>
        <v>5.3770089213560954</v>
      </c>
      <c r="M62" s="5">
        <f>IF(OR(K62&lt;-2,K62&gt;2),"",I62)</f>
        <v>2.0899051114393981</v>
      </c>
      <c r="N62" s="5">
        <f>IF(OR(M62="",L62=""),"", (M62-(SLOPE(M$2:M$68,L$2:L$68)*L62+INTERCEPT(M$2:M$68,L$2:L$68))))</f>
        <v>-6.2183979555347157E-2</v>
      </c>
      <c r="O62">
        <f>IF(AND(C62=0,B62=0),0,IF(AND(B62&gt;0,C62=0),-4.9,IF(AND(B62=0,C62&gt;0),4.9,(G62-(SLOPE(M$2:M$68,L$2:L$68)*F62+INTERCEPT(M$2:M$68,L$2:L$68)))/_xlfn.STDEV.S(N$2:N$68))))</f>
        <v>-0.13530795866110565</v>
      </c>
    </row>
    <row r="63" spans="1:15" x14ac:dyDescent="0.35">
      <c r="A63" s="2" t="s">
        <v>56</v>
      </c>
      <c r="B63">
        <f>SUM([1]category_mergeDALY!P62)</f>
        <v>281951.659304826</v>
      </c>
      <c r="C63">
        <f>SUM([1]pubmed_result!L63)</f>
        <v>17</v>
      </c>
      <c r="D63" s="5">
        <f>IF(OR(B63=0,C63=0),"",B63)</f>
        <v>281951.659304826</v>
      </c>
      <c r="E63" s="5">
        <f>IF(OR(B63=0,C63=0),"",C63)</f>
        <v>17</v>
      </c>
      <c r="F63" s="5">
        <f>IF(D63="","",LOG10(D63))</f>
        <v>5.4501746547846635</v>
      </c>
      <c r="G63" s="5">
        <f>IF(E63="","",LOG10(E63))</f>
        <v>1.2304489213782739</v>
      </c>
      <c r="H63" s="5">
        <f>IF(OR(F63="",G63=""),"",IF(OR(ABS(F63-AVERAGE(F$2:F$68))&gt;_xlfn.STDEV.S(F$2:F$68)*2,ABS(G63-AVERAGE(G$2:G$68))&gt;_xlfn.STDEV.S(G$2:G$68)*2),"",F63))</f>
        <v>5.4501746547846635</v>
      </c>
      <c r="I63" s="5">
        <f>IF(OR(F63="",G63=""),"",IF(OR(ABS(F63-AVERAGE(F$2:F$68))&gt;_xlfn.STDEV.S(F$2:F$68)*2,ABS(G63-AVERAGE(G$2:G$68))&gt;_xlfn.STDEV.S(G$2:G$68)*2),"",G63))</f>
        <v>1.2304489213782739</v>
      </c>
      <c r="J63" s="5">
        <f>IF(OR(H63="",I63=""),"", (I63-(SLOPE(I$2:I$68,H$2:H$68)*H63+INTERCEPT(I$2:I$68,H$2:H$68))))</f>
        <v>-0.91614156494611243</v>
      </c>
      <c r="K63" s="5">
        <f>IF(J63="","", J63/_xlfn.STDEV.S(J$2:J$68))</f>
        <v>-1.9100857818245502</v>
      </c>
      <c r="L63" s="5">
        <f>IF(OR(K63&lt;-2,K63&gt;2),"",H63)</f>
        <v>5.4501746547846635</v>
      </c>
      <c r="M63" s="5">
        <f>IF(OR(K63&lt;-2,K63&gt;2),"",I63)</f>
        <v>1.2304489213782739</v>
      </c>
      <c r="N63" s="5">
        <f>IF(OR(M63="",L63=""),"", (M63-(SLOPE(M$2:M$68,L$2:L$68)*L63+INTERCEPT(M$2:M$68,L$2:L$68))))</f>
        <v>-0.94543933709522299</v>
      </c>
      <c r="O63">
        <f>IF(AND(C63=0,B63=0),0,IF(AND(B63&gt;0,C63=0),-4.9,IF(AND(B63=0,C63&gt;0),4.9,(G63-(SLOPE(M$2:M$68,L$2:L$68)*F63+INTERCEPT(M$2:M$68,L$2:L$68)))/_xlfn.STDEV.S(N$2:N$68))))</f>
        <v>-2.0572093914704004</v>
      </c>
    </row>
    <row r="64" spans="1:15" x14ac:dyDescent="0.35">
      <c r="A64" s="2" t="s">
        <v>0</v>
      </c>
      <c r="B64">
        <f>SUM([1]category_mergeDALY!P3)</f>
        <v>43614729.012965344</v>
      </c>
      <c r="C64">
        <f>SUM([1]pubmed_result!L4)</f>
        <v>4340</v>
      </c>
      <c r="D64" s="5">
        <f>IF(OR(B64=0,C64=0),"",B64)</f>
        <v>43614729.012965344</v>
      </c>
      <c r="E64" s="5">
        <f>IF(OR(B64=0,C64=0),"",C64)</f>
        <v>4340</v>
      </c>
      <c r="F64" s="5">
        <f>IF(D64="","",LOG10(D64))</f>
        <v>7.6396331784617519</v>
      </c>
      <c r="G64" s="5">
        <f>IF(E64="","",LOG10(E64))</f>
        <v>3.6374897295125108</v>
      </c>
      <c r="H64" s="5">
        <f>IF(OR(F64="",G64=""),"",IF(OR(ABS(F64-AVERAGE(F$2:F$68))&gt;_xlfn.STDEV.S(F$2:F$68)*2,ABS(G64-AVERAGE(G$2:G$68))&gt;_xlfn.STDEV.S(G$2:G$68)*2),"",F64))</f>
        <v>7.6396331784617519</v>
      </c>
      <c r="I64" s="5">
        <f>IF(OR(F64="",G64=""),"",IF(OR(ABS(F64-AVERAGE(F$2:F$68))&gt;_xlfn.STDEV.S(F$2:F$68)*2,ABS(G64-AVERAGE(G$2:G$68))&gt;_xlfn.STDEV.S(G$2:G$68)*2),"",G64))</f>
        <v>3.6374897295125108</v>
      </c>
      <c r="J64" s="5">
        <f>IF(OR(H64="",I64=""),"", (I64-(SLOPE(I$2:I$68,H$2:H$68)*H64+INTERCEPT(I$2:I$68,H$2:H$68))))</f>
        <v>0.75049789462946492</v>
      </c>
      <c r="K64" s="5">
        <f>IF(J64="","", J64/_xlfn.STDEV.S(J$2:J$68))</f>
        <v>1.5647312737145813</v>
      </c>
      <c r="L64" s="5">
        <f>IF(OR(K64&lt;-2,K64&gt;2),"",H64)</f>
        <v>7.6396331784617519</v>
      </c>
      <c r="M64" s="5">
        <f>IF(OR(K64&lt;-2,K64&gt;2),"",I64)</f>
        <v>3.6374897295125108</v>
      </c>
      <c r="N64" s="5">
        <f>IF(OR(M64="",L64=""),"", (M64-(SLOPE(M$2:M$68,L$2:L$68)*L64+INTERCEPT(M$2:M$68,L$2:L$68))))</f>
        <v>0.74941985744739581</v>
      </c>
      <c r="O64">
        <f>IF(AND(C64=0,B64=0),0,IF(AND(B64&gt;0,C64=0),-4.9,IF(AND(B64=0,C64&gt;0),4.9,(G64-(SLOPE(M$2:M$68,L$2:L$68)*F64+INTERCEPT(M$2:M$68,L$2:L$68)))/_xlfn.STDEV.S(N$2:N$68))))</f>
        <v>1.630684813297453</v>
      </c>
    </row>
    <row r="65" spans="1:15" x14ac:dyDescent="0.35">
      <c r="A65" s="2" t="s">
        <v>15</v>
      </c>
      <c r="B65">
        <f>SUM([1]category_mergeDALY!P18)</f>
        <v>5412666.5563267898</v>
      </c>
      <c r="C65">
        <f>SUM([1]pubmed_result!L19)</f>
        <v>175</v>
      </c>
      <c r="D65" s="5">
        <f>IF(OR(B65=0,C65=0),"",B65)</f>
        <v>5412666.5563267898</v>
      </c>
      <c r="E65" s="5">
        <f>IF(OR(B65=0,C65=0),"",C65)</f>
        <v>175</v>
      </c>
      <c r="F65" s="5">
        <f>IF(D65="","",LOG10(D65))</f>
        <v>6.7334112734964275</v>
      </c>
      <c r="G65" s="5">
        <f>IF(E65="","",LOG10(E65))</f>
        <v>2.2430380486862944</v>
      </c>
      <c r="H65" s="5">
        <f>IF(OR(F65="",G65=""),"",IF(OR(ABS(F65-AVERAGE(F$2:F$68))&gt;_xlfn.STDEV.S(F$2:F$68)*2,ABS(G65-AVERAGE(G$2:G$68))&gt;_xlfn.STDEV.S(G$2:G$68)*2),"",F65))</f>
        <v>6.7334112734964275</v>
      </c>
      <c r="I65" s="5">
        <f>IF(OR(F65="",G65=""),"",IF(OR(ABS(F65-AVERAGE(F$2:F$68))&gt;_xlfn.STDEV.S(F$2:F$68)*2,ABS(G65-AVERAGE(G$2:G$68))&gt;_xlfn.STDEV.S(G$2:G$68)*2),"",G65))</f>
        <v>2.2430380486862944</v>
      </c>
      <c r="J65" s="5">
        <f>IF(OR(H65="",I65=""),"", (I65-(SLOPE(I$2:I$68,H$2:H$68)*H65+INTERCEPT(I$2:I$68,H$2:H$68))))</f>
        <v>-0.33749996975136565</v>
      </c>
      <c r="K65" s="5">
        <f>IF(J65="","", J65/_xlfn.STDEV.S(J$2:J$68))</f>
        <v>-0.70366187743726916</v>
      </c>
      <c r="L65" s="5">
        <f>IF(OR(K65&lt;-2,K65&gt;2),"",H65)</f>
        <v>6.7334112734964275</v>
      </c>
      <c r="M65" s="5">
        <f>IF(OR(K65&lt;-2,K65&gt;2),"",I65)</f>
        <v>2.2430380486862944</v>
      </c>
      <c r="N65" s="5">
        <f>IF(OR(M65="",L65=""),"", (M65-(SLOPE(M$2:M$68,L$2:L$68)*L65+INTERCEPT(M$2:M$68,L$2:L$68))))</f>
        <v>-0.35025821996460005</v>
      </c>
      <c r="O65">
        <f>IF(AND(C65=0,B65=0),0,IF(AND(B65&gt;0,C65=0),-4.9,IF(AND(B65=0,C65&gt;0),4.9,(G65-(SLOPE(M$2:M$68,L$2:L$68)*F65+INTERCEPT(M$2:M$68,L$2:L$68)))/_xlfn.STDEV.S(N$2:N$68))))</f>
        <v>-0.76213721100786769</v>
      </c>
    </row>
    <row r="66" spans="1:15" x14ac:dyDescent="0.35">
      <c r="A66" s="2" t="s">
        <v>43</v>
      </c>
      <c r="B66">
        <f>SUM([1]category_mergeDALY!P49)</f>
        <v>827572.38741937</v>
      </c>
      <c r="C66">
        <f>SUM([1]pubmed_result!L50)</f>
        <v>563</v>
      </c>
      <c r="D66" s="5">
        <f>IF(OR(B66=0,C66=0),"",B66)</f>
        <v>827572.38741937</v>
      </c>
      <c r="E66" s="5">
        <f>IF(OR(B66=0,C66=0),"",C66)</f>
        <v>563</v>
      </c>
      <c r="F66" s="5">
        <f>IF(D66="","",LOG10(D66))</f>
        <v>5.9178059916705248</v>
      </c>
      <c r="G66" s="5">
        <f>IF(E66="","",LOG10(E66))</f>
        <v>2.7505083948513462</v>
      </c>
      <c r="H66" s="5">
        <f>IF(OR(F66="",G66=""),"",IF(OR(ABS(F66-AVERAGE(F$2:F$68))&gt;_xlfn.STDEV.S(F$2:F$68)*2,ABS(G66-AVERAGE(G$2:G$68))&gt;_xlfn.STDEV.S(G$2:G$68)*2),"",F66))</f>
        <v>5.9178059916705248</v>
      </c>
      <c r="I66" s="5">
        <f>IF(OR(F66="",G66=""),"",IF(OR(ABS(F66-AVERAGE(F$2:F$68))&gt;_xlfn.STDEV.S(F$2:F$68)*2,ABS(G66-AVERAGE(G$2:G$68))&gt;_xlfn.STDEV.S(G$2:G$68)*2),"",G66))</f>
        <v>2.7505083948513462</v>
      </c>
      <c r="J66" s="5">
        <f>IF(OR(H66="",I66=""),"", (I66-(SLOPE(I$2:I$68,H$2:H$68)*H66+INTERCEPT(I$2:I$68,H$2:H$68))))</f>
        <v>0.44578069390775088</v>
      </c>
      <c r="K66" s="5">
        <f>IF(J66="","", J66/_xlfn.STDEV.S(J$2:J$68))</f>
        <v>0.92941898700465686</v>
      </c>
      <c r="L66" s="5">
        <f>IF(OR(K66&lt;-2,K66&gt;2),"",H66)</f>
        <v>5.9178059916705248</v>
      </c>
      <c r="M66" s="5">
        <f>IF(OR(K66&lt;-2,K66&gt;2),"",I66)</f>
        <v>2.7505083948513462</v>
      </c>
      <c r="N66" s="5">
        <f>IF(OR(M66="",L66=""),"", (M66-(SLOPE(M$2:M$68,L$2:L$68)*L66+INTERCEPT(M$2:M$68,L$2:L$68))))</f>
        <v>0.42251018020929987</v>
      </c>
      <c r="O66">
        <f>IF(AND(C66=0,B66=0),0,IF(AND(B66&gt;0,C66=0),-4.9,IF(AND(B66=0,C66&gt;0),4.9,(G66-(SLOPE(M$2:M$68,L$2:L$68)*F66+INTERCEPT(M$2:M$68,L$2:L$68)))/_xlfn.STDEV.S(N$2:N$68))))</f>
        <v>0.91935238636138905</v>
      </c>
    </row>
    <row r="67" spans="1:15" x14ac:dyDescent="0.35">
      <c r="A67" s="2" t="s">
        <v>50</v>
      </c>
      <c r="B67">
        <f>SUM([1]category_mergeDALY!P56)</f>
        <v>310079.99707671499</v>
      </c>
      <c r="C67">
        <f>SUM([1]pubmed_result!L57)</f>
        <v>99</v>
      </c>
      <c r="D67" s="5">
        <f>IF(OR(B67=0,C67=0),"",B67)</f>
        <v>310079.99707671499</v>
      </c>
      <c r="E67" s="5">
        <f>IF(OR(B67=0,C67=0),"",C67)</f>
        <v>99</v>
      </c>
      <c r="F67" s="5">
        <f>IF(D67="","",LOG10(D67))</f>
        <v>5.4914737512763523</v>
      </c>
      <c r="G67" s="5">
        <f>IF(E67="","",LOG10(E67))</f>
        <v>1.9956351945975499</v>
      </c>
      <c r="H67" s="5">
        <f>IF(OR(F67="",G67=""),"",IF(OR(ABS(F67-AVERAGE(F$2:F$68))&gt;_xlfn.STDEV.S(F$2:F$68)*2,ABS(G67-AVERAGE(G$2:G$68))&gt;_xlfn.STDEV.S(G$2:G$68)*2),"",F67))</f>
        <v>5.4914737512763523</v>
      </c>
      <c r="I67" s="5">
        <f>IF(OR(F67="",G67=""),"",IF(OR(ABS(F67-AVERAGE(F$2:F$68))&gt;_xlfn.STDEV.S(F$2:F$68)*2,ABS(G67-AVERAGE(G$2:G$68))&gt;_xlfn.STDEV.S(G$2:G$68)*2),"",G67))</f>
        <v>1.9956351945975499</v>
      </c>
      <c r="J67" s="5">
        <f>IF(OR(H67="",I67=""),"", (I67-(SLOPE(I$2:I$68,H$2:H$68)*H67+INTERCEPT(I$2:I$68,H$2:H$68))))</f>
        <v>-0.16492125929645574</v>
      </c>
      <c r="K67" s="5">
        <f>IF(J67="","", J67/_xlfn.STDEV.S(J$2:J$68))</f>
        <v>-0.34384833584238605</v>
      </c>
      <c r="L67" s="5">
        <f>IF(OR(K67&lt;-2,K67&gt;2),"",H67)</f>
        <v>5.4914737512763523</v>
      </c>
      <c r="M67" s="5">
        <f>IF(OR(K67&lt;-2,K67&gt;2),"",I67)</f>
        <v>1.9956351945975499</v>
      </c>
      <c r="N67" s="5">
        <f>IF(OR(M67="",L67=""),"", (M67-(SLOPE(M$2:M$68,L$2:L$68)*L67+INTERCEPT(M$2:M$68,L$2:L$68))))</f>
        <v>-0.19368673108692946</v>
      </c>
      <c r="O67">
        <f>IF(AND(C67=0,B67=0),0,IF(AND(B67&gt;0,C67=0),-4.9,IF(AND(B67=0,C67&gt;0),4.9,(G67-(SLOPE(M$2:M$68,L$2:L$68)*F67+INTERCEPT(M$2:M$68,L$2:L$68)))/_xlfn.STDEV.S(N$2:N$68))))</f>
        <v>-0.42144868164619392</v>
      </c>
    </row>
    <row r="68" spans="1:15" x14ac:dyDescent="0.35">
      <c r="A68" s="2" t="s">
        <v>62</v>
      </c>
      <c r="B68">
        <f>SUM([1]category_mergeDALY!P68)</f>
        <v>104.33609515365001</v>
      </c>
      <c r="C68">
        <f>SUM([1]pubmed_result!L69)</f>
        <v>743</v>
      </c>
      <c r="D68" s="5">
        <f>IF(OR(B68=0,C68=0),"",B68)</f>
        <v>104.33609515365001</v>
      </c>
      <c r="E68" s="5">
        <f>IF(OR(B68=0,C68=0),"",C68)</f>
        <v>743</v>
      </c>
      <c r="F68" s="5">
        <f>IF(D68="","",LOG10(D68))</f>
        <v>2.0184345789365161</v>
      </c>
      <c r="G68" s="5">
        <f>IF(E68="","",LOG10(E68))</f>
        <v>2.8709888137605755</v>
      </c>
      <c r="H68" s="5" t="str">
        <f>IF(OR(F68="",G68=""),"",IF(OR(ABS(F68-AVERAGE(F$2:F$68))&gt;_xlfn.STDEV.S(F$2:F$68)*2,ABS(G68-AVERAGE(G$2:G$68))&gt;_xlfn.STDEV.S(G$2:G$68)*2),"",F68))</f>
        <v/>
      </c>
      <c r="I68" s="5" t="str">
        <f>IF(OR(F68="",G68=""),"",IF(OR(ABS(F68-AVERAGE(F$2:F$68))&gt;_xlfn.STDEV.S(F$2:F$68)*2,ABS(G68-AVERAGE(G$2:G$68))&gt;_xlfn.STDEV.S(G$2:G$68)*2),"",G68))</f>
        <v/>
      </c>
      <c r="J68" s="5" t="str">
        <f>IF(OR(H68="",I68=""),"", (I68-(SLOPE(I$2:I$68,H$2:H$68)*H68+INTERCEPT(I$2:I$68,H$2:H$68))))</f>
        <v/>
      </c>
      <c r="K68" s="5" t="str">
        <f>IF(J68="","", J68/_xlfn.STDEV.S(J$2:J$68))</f>
        <v/>
      </c>
      <c r="L68" s="5" t="str">
        <f>IF(OR(K68&lt;-2,K68&gt;2),"",H68)</f>
        <v/>
      </c>
      <c r="M68" s="5" t="str">
        <f>IF(OR(K68&lt;-2,K68&gt;2),"",I68)</f>
        <v/>
      </c>
      <c r="N68" s="5" t="str">
        <f>IF(OR(M68="",L68=""),"", (M68-(SLOPE(M$2:M$68,L$2:L$68)*L68+INTERCEPT(M$2:M$68,L$2:L$68))))</f>
        <v/>
      </c>
      <c r="O68">
        <f>IF(AND(C68=0,B68=0),0,IF(AND(B68&gt;0,C68=0),-4.9,IF(AND(B68=0,C68&gt;0),4.9,(G68-(SLOPE(M$2:M$68,L$2:L$68)*F68+INTERCEPT(M$2:M$68,L$2:L$68)))/_xlfn.STDEV.S(N$2:N$68))))</f>
        <v>3.9414100648889052</v>
      </c>
    </row>
  </sheetData>
  <autoFilter ref="A1:O1" xr:uid="{430AB774-A274-4C7A-A613-E29538348A59}">
    <sortState xmlns:xlrd2="http://schemas.microsoft.com/office/spreadsheetml/2017/richdata2" ref="A2:O68">
      <sortCondition ref="A1"/>
    </sortState>
  </autoFilter>
  <conditionalFormatting sqref="O1:O68">
    <cfRule type="cellIs" dxfId="1" priority="1" operator="lessThan">
      <formula>-2</formula>
    </cfRule>
    <cfRule type="cellIs" dxfId="0" priority="2" operator="greaterThan">
      <formula>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Yuki FURUSE</dc:creator>
  <cp:lastModifiedBy>Yuki FURUSE</cp:lastModifiedBy>
  <dcterms:created xsi:type="dcterms:W3CDTF">2026-03-27T02:42:12Z</dcterms:created>
  <dcterms:modified xsi:type="dcterms:W3CDTF">2026-03-27T02:51:17Z</dcterms:modified>
</cp:coreProperties>
</file>